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CB7301F-3F2E-4B15-9458-5A619CF808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KUList" sheetId="2" r:id="rId1"/>
  </sheets>
  <definedNames>
    <definedName name="_xlnm._FilterDatabase" localSheetId="0" hidden="1">OrderSKUList!$A$1:$BE$15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3" i="2" l="1"/>
  <c r="AU4" i="2"/>
  <c r="AU5" i="2"/>
  <c r="AU6" i="2"/>
  <c r="AU7" i="2"/>
  <c r="AU8" i="2"/>
  <c r="AU9" i="2"/>
  <c r="AU10" i="2"/>
  <c r="AU11" i="2"/>
  <c r="AU12" i="2"/>
  <c r="AU13" i="2"/>
  <c r="AU14" i="2"/>
  <c r="AU15" i="2"/>
  <c r="AU2" i="2"/>
</calcChain>
</file>

<file path=xl/sharedStrings.xml><?xml version="1.0" encoding="utf-8"?>
<sst xmlns="http://schemas.openxmlformats.org/spreadsheetml/2006/main" count="555" uniqueCount="289">
  <si>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</si>
  <si>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</si>
  <si>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</si>
  <si>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</si>
  <si>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</si>
  <si>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</si>
  <si>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</si>
  <si>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</si>
  <si>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</si>
  <si>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</si>
  <si>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</si>
  <si>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</si>
  <si>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</si>
  <si>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</si>
  <si>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</si>
  <si>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Payment platform discount</t>
  </si>
  <si>
    <t>Buyer Service Fee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</si>
  <si>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</si>
  <si>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</si>
  <si>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</si>
  <si>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</si>
  <si>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</si>
  <si>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</si>
  <si>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</si>
  <si>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</si>
  <si>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</si>
  <si>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</si>
  <si>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</si>
  <si>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</si>
  <si>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</si>
  <si>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</si>
  <si>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</si>
  <si>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</si>
  <si>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</si>
  <si>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</si>
  <si>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</si>
  <si>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</si>
  <si>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</si>
  <si>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</si>
  <si>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</si>
  <si>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</si>
  <si>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</si>
  <si>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</si>
  <si>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</si>
  <si>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</si>
  <si>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</si>
  <si>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</si>
  <si>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</si>
  <si>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</si>
  <si>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</si>
  <si>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</si>
  <si>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577644870698108584</t>
  </si>
  <si>
    <t>To ship</t>
  </si>
  <si>
    <t>Awaiting collection</t>
  </si>
  <si>
    <t>Normal</t>
  </si>
  <si>
    <t>1729427983833926000</t>
  </si>
  <si>
    <t>2-PM15</t>
  </si>
  <si>
    <t>PAKET CERIA (2 POMEGLOW 15 SACHET)</t>
  </si>
  <si>
    <t>Paket Ceria ( 2 PM 15 )</t>
  </si>
  <si>
    <t>1</t>
  </si>
  <si>
    <t>0</t>
  </si>
  <si>
    <t>IDR 240.000</t>
  </si>
  <si>
    <t>IDR 26.176</t>
  </si>
  <si>
    <t>IDR 0</t>
  </si>
  <si>
    <t>IDR 1.000</t>
  </si>
  <si>
    <t>IDR 195.824</t>
  </si>
  <si>
    <t>17/12/2024 19:01:19</t>
  </si>
  <si>
    <t>17/12/2024 19:02:00</t>
  </si>
  <si>
    <t>18/12/2024 10:01:59</t>
  </si>
  <si>
    <t>Fulfillment by seller</t>
  </si>
  <si>
    <t>Pomeglow Indonesia</t>
  </si>
  <si>
    <t>JX3208124180</t>
  </si>
  <si>
    <t>Pengiriman standar</t>
  </si>
  <si>
    <t>anni.ju3</t>
  </si>
  <si>
    <t>a***</t>
  </si>
  <si>
    <t>Indonesia</t>
  </si>
  <si>
    <t>South Sulawesi</t>
  </si>
  <si>
    <t>Bone</t>
  </si>
  <si>
    <t>Wa*******</t>
  </si>
  <si>
    <t>Jl* ***** ***** **** ****</t>
  </si>
  <si>
    <t>ka**** ******* ****** *********</t>
  </si>
  <si>
    <t>0.5</t>
  </si>
  <si>
    <t>Beauty Supplement</t>
  </si>
  <si>
    <t>1156737464987453096</t>
  </si>
  <si>
    <t>Unchecked</t>
  </si>
  <si>
    <t>577645596699887317</t>
  </si>
  <si>
    <t>1729488740184263024</t>
  </si>
  <si>
    <t>Pomeglow Collagen Drink - 15 Sachet - Bumil Busui Friendly</t>
  </si>
  <si>
    <t>2 Pomeglow 15</t>
  </si>
  <si>
    <t>IDR 230.000</t>
  </si>
  <si>
    <t>IDR 45.974</t>
  </si>
  <si>
    <t>IDR 186.876</t>
  </si>
  <si>
    <t>17/12/2024 20:52:20</t>
  </si>
  <si>
    <t>NJVTT06114817083</t>
  </si>
  <si>
    <t>nurjanah11400</t>
  </si>
  <si>
    <t>n** j****</t>
  </si>
  <si>
    <t>Jawa Tengah</t>
  </si>
  <si>
    <t>Cilacap</t>
  </si>
  <si>
    <t>Bo********</t>
  </si>
  <si>
    <t>ga** ******* * ** ** ** **</t>
  </si>
  <si>
    <t>ru***</t>
  </si>
  <si>
    <t>1156739383893395157</t>
  </si>
  <si>
    <t>577645722164823227</t>
  </si>
  <si>
    <t>1729386080098420080</t>
  </si>
  <si>
    <t>PM15</t>
  </si>
  <si>
    <t>Pomeglow 15</t>
  </si>
  <si>
    <t>IDR 120.000</t>
  </si>
  <si>
    <t>IDR 13.000</t>
  </si>
  <si>
    <t>IDR 2.000</t>
  </si>
  <si>
    <t>IDR 110.090</t>
  </si>
  <si>
    <t>17/12/2024 21:11:28</t>
  </si>
  <si>
    <t>NJVTT06118817083</t>
  </si>
  <si>
    <t>indrawatirmdhn</t>
  </si>
  <si>
    <t>I******** R********</t>
  </si>
  <si>
    <t>Jawa Timur</t>
  </si>
  <si>
    <t>Bondowoso</t>
  </si>
  <si>
    <t>Su****** ***</t>
  </si>
  <si>
    <t>Jl* ******* ******* ** ** ** ** ******** *** ******** *********</t>
  </si>
  <si>
    <t>1156739719111935163</t>
  </si>
  <si>
    <t>577647360727484392</t>
  </si>
  <si>
    <t>IDR 5.826</t>
  </si>
  <si>
    <t>IDR 2.700</t>
  </si>
  <si>
    <t>IDR 143.293</t>
  </si>
  <si>
    <t>18/12/2024 07:15:29</t>
  </si>
  <si>
    <t>JX3208855980</t>
  </si>
  <si>
    <t>nurtinsuki1</t>
  </si>
  <si>
    <t>N*****</t>
  </si>
  <si>
    <t>Sulawesi Tengah</t>
  </si>
  <si>
    <t>Palu</t>
  </si>
  <si>
    <t>Be**** *****</t>
  </si>
  <si>
    <t>Ka**** ******** ******** ******* ***** *** ********* ******* ****** *****</t>
  </si>
  <si>
    <t>Bi** ********* ***********</t>
  </si>
  <si>
    <t>1156745387344037864</t>
  </si>
  <si>
    <t>577647437594461393</t>
  </si>
  <si>
    <t>IDR 22.000</t>
  </si>
  <si>
    <t>IDR 200.250</t>
  </si>
  <si>
    <t>18/12/2024 07:33:50</t>
  </si>
  <si>
    <t>18/12/2024 07:35:27</t>
  </si>
  <si>
    <t>JX3208144180</t>
  </si>
  <si>
    <t>turiani69</t>
  </si>
  <si>
    <t>N* p*** p**** s*********</t>
  </si>
  <si>
    <t>Bali</t>
  </si>
  <si>
    <t>Karangasem</t>
  </si>
  <si>
    <t>Ul****</t>
  </si>
  <si>
    <t>Jl **** ******-********** ***** ********* ******* *(******** ***** ******)</t>
  </si>
  <si>
    <t>Tu**** ***** ******</t>
  </si>
  <si>
    <t>1156745788164506833</t>
  </si>
  <si>
    <t>577648048872458025</t>
  </si>
  <si>
    <t>IDR 23.400</t>
  </si>
  <si>
    <t>IDR 1.400</t>
  </si>
  <si>
    <t>IDR 99.000</t>
  </si>
  <si>
    <t>18/12/2024 09:40:56</t>
  </si>
  <si>
    <t>18/12/2024 09:43:48</t>
  </si>
  <si>
    <t>NJVTT06114387782</t>
  </si>
  <si>
    <t>yunicaaa14</t>
  </si>
  <si>
    <t>y***** k*********</t>
  </si>
  <si>
    <t>Batang</t>
  </si>
  <si>
    <t>De** **********</t>
  </si>
  <si>
    <t>Ti*****</t>
  </si>
  <si>
    <t>so*** ***** * ******* ********* **********</t>
  </si>
  <si>
    <t>1156749864737933097</t>
  </si>
  <si>
    <t>577648325234623606</t>
  </si>
  <si>
    <t>1729432820663486832</t>
  </si>
  <si>
    <t>3-PM15</t>
  </si>
  <si>
    <t>3 Box Pomeglow 15 Sachet [Paket]</t>
  </si>
  <si>
    <t>3 POMEGLOW 15 SACHET</t>
  </si>
  <si>
    <t>2</t>
  </si>
  <si>
    <t>IDR 357.000</t>
  </si>
  <si>
    <t>IDR 97.500</t>
  </si>
  <si>
    <t>IDR 3.500</t>
  </si>
  <si>
    <t>IDR 557.000</t>
  </si>
  <si>
    <t>18/12/2024 10:29:32</t>
  </si>
  <si>
    <t>18/12/2024 10:29:55</t>
  </si>
  <si>
    <t>18/12/2024 13:10:35</t>
  </si>
  <si>
    <t>NJVTT06116909082</t>
  </si>
  <si>
    <t>reginasidharta2</t>
  </si>
  <si>
    <t xml:space="preserve">R***** s******* </t>
  </si>
  <si>
    <t>East Java</t>
  </si>
  <si>
    <t>Surabaya</t>
  </si>
  <si>
    <t>Lo****</t>
  </si>
  <si>
    <t>Vi** ***** ****** ** ** **</t>
  </si>
  <si>
    <t>1156751145534719094</t>
  </si>
  <si>
    <t>577648565765113386</t>
  </si>
  <si>
    <t>IDR 37.883</t>
  </si>
  <si>
    <t>IDR 183.367</t>
  </si>
  <si>
    <t>18/12/2024 11:10:47</t>
  </si>
  <si>
    <t>18/12/2024 13:10:36</t>
  </si>
  <si>
    <t>JX3202673699</t>
  </si>
  <si>
    <t>widiaranieecuttee</t>
  </si>
  <si>
    <t>w**** r***</t>
  </si>
  <si>
    <t>Sumatera Selatan</t>
  </si>
  <si>
    <t>Penukal Abab Lematang Ilir</t>
  </si>
  <si>
    <t>Ps************</t>
  </si>
  <si>
    <t>al**** **** ****** **** ** **</t>
  </si>
  <si>
    <t>1156752090156533290</t>
  </si>
  <si>
    <t>577648603126007651</t>
  </si>
  <si>
    <t>IDR 7.200</t>
  </si>
  <si>
    <t>IDR 113.928</t>
  </si>
  <si>
    <t>18/12/2024 11:17:43</t>
  </si>
  <si>
    <t>NJVTT06116929082</t>
  </si>
  <si>
    <t>silla1268</t>
  </si>
  <si>
    <t>n** a*****</t>
  </si>
  <si>
    <t>Pu*******</t>
  </si>
  <si>
    <t>Be*** ********* ******* ****** ********* ** ***** **</t>
  </si>
  <si>
    <t>pe******* ***** ******* ******</t>
  </si>
  <si>
    <t>1156752240596977507</t>
  </si>
  <si>
    <t>577648761855707081</t>
  </si>
  <si>
    <t>IDR 16.157</t>
  </si>
  <si>
    <t>IDR 1.500</t>
  </si>
  <si>
    <t>IDR 105.343</t>
  </si>
  <si>
    <t>18/12/2024 11:44:35</t>
  </si>
  <si>
    <t>18/12/2024 11:44:54</t>
  </si>
  <si>
    <t>JX3202693699</t>
  </si>
  <si>
    <t>rismadamero</t>
  </si>
  <si>
    <t>R********</t>
  </si>
  <si>
    <t>Jawa Barat</t>
  </si>
  <si>
    <t>Ja**********</t>
  </si>
  <si>
    <t>pe******* ****</t>
  </si>
  <si>
    <t>jl* ***** **** *-* ** **</t>
  </si>
  <si>
    <t>1156753049945081801</t>
  </si>
  <si>
    <t>577648839919175387</t>
  </si>
  <si>
    <t>IDR 19.536</t>
  </si>
  <si>
    <t>IDR 102.984</t>
  </si>
  <si>
    <t>18/12/2024 11:56:22</t>
  </si>
  <si>
    <t>JX3203613699</t>
  </si>
  <si>
    <t>riyanrantaumadura</t>
  </si>
  <si>
    <t>F****</t>
  </si>
  <si>
    <t>DKI Jakarta</t>
  </si>
  <si>
    <t>Ja*******</t>
  </si>
  <si>
    <t>ke** ******* ***** **** ********** ******* ******* ** * ** *</t>
  </si>
  <si>
    <t>1156753281216906971</t>
  </si>
  <si>
    <t>577649061546329572</t>
  </si>
  <si>
    <t>IDR 33.038</t>
  </si>
  <si>
    <t>IDR 197.669</t>
  </si>
  <si>
    <t>18/12/2024 12:34:41</t>
  </si>
  <si>
    <t>JX3209322098</t>
  </si>
  <si>
    <t>nurliana.liana</t>
  </si>
  <si>
    <t>N******* L****</t>
  </si>
  <si>
    <t>North Kalimantan</t>
  </si>
  <si>
    <t>Nunukan</t>
  </si>
  <si>
    <t>Se*****</t>
  </si>
  <si>
    <t>jl* ****** ****** ****** (********* ************)</t>
  </si>
  <si>
    <t>1156754051002369508</t>
  </si>
  <si>
    <t>577649133380666703</t>
  </si>
  <si>
    <t>IDR 109.080</t>
  </si>
  <si>
    <t>18/12/2024 12:48:28</t>
  </si>
  <si>
    <t>NJVTT06116949082</t>
  </si>
  <si>
    <t>lisnasyabina</t>
  </si>
  <si>
    <t>s**********</t>
  </si>
  <si>
    <t>Majalengka</t>
  </si>
  <si>
    <t>Ci******</t>
  </si>
  <si>
    <t>rt **  ******* ***** ********* **** ******</t>
  </si>
  <si>
    <t>1156754490853918031</t>
  </si>
  <si>
    <t>577649479367361909</t>
  </si>
  <si>
    <t>IDR 1.100</t>
  </si>
  <si>
    <t>IDR 116.251</t>
  </si>
  <si>
    <t>18/12/2024 13:48:04</t>
  </si>
  <si>
    <t>18/12/2024 14:31:35</t>
  </si>
  <si>
    <t>JX3200346097</t>
  </si>
  <si>
    <t>rimasitumorang0</t>
  </si>
  <si>
    <t>E**** S*********</t>
  </si>
  <si>
    <t>Riau</t>
  </si>
  <si>
    <t>La*** **** *****</t>
  </si>
  <si>
    <t>Jl ******</t>
  </si>
  <si>
    <t>1156756361469330805</t>
  </si>
  <si>
    <t>NINJA</t>
  </si>
  <si>
    <t>J&amp;T</t>
  </si>
  <si>
    <t>6281*******51</t>
  </si>
  <si>
    <t>6282*******82</t>
  </si>
  <si>
    <t>6281*******52</t>
  </si>
  <si>
    <t>6282*******36</t>
  </si>
  <si>
    <t>6282*******61</t>
  </si>
  <si>
    <t>62811*****11</t>
  </si>
  <si>
    <t>62819******60</t>
  </si>
  <si>
    <t>62822******57</t>
  </si>
  <si>
    <t>62822******74</t>
  </si>
  <si>
    <t>62812******83</t>
  </si>
  <si>
    <t>62813******92</t>
  </si>
  <si>
    <t>62831******93</t>
  </si>
  <si>
    <t>62877******03</t>
  </si>
  <si>
    <t>62821******98</t>
  </si>
  <si>
    <t>Wonosobo</t>
  </si>
  <si>
    <t xml:space="preserve"> and </t>
  </si>
  <si>
    <t>Bekasi</t>
  </si>
  <si>
    <t>Administrasi Jakarta Selatan</t>
  </si>
  <si>
    <t>Pekanbaru</t>
  </si>
  <si>
    <t>COD</t>
  </si>
  <si>
    <t>TF</t>
  </si>
  <si>
    <t>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</si>
</sst>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5"/>
  <sheetViews>
    <sheetView tabSelected="1" topLeftCell="X1" workbookViewId="0">
      <selection activeCell="AM24" sqref="AM24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3" max="13" width="9.140625" style="1"/>
    <col min="15" max="15" width="9.140625" style="1"/>
    <col min="36" max="36" width="20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288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282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</row>
    <row r="2" spans="1:57" x14ac:dyDescent="0.25">
      <c r="A2" t="s">
        <v>51</v>
      </c>
      <c r="B2" t="s">
        <v>52</v>
      </c>
      <c r="C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s="2">
        <v>240000</v>
      </c>
      <c r="N2" t="s">
        <v>62</v>
      </c>
      <c r="O2" s="2">
        <v>20000</v>
      </c>
      <c r="P2">
        <v>2</v>
      </c>
      <c r="V2" t="s">
        <v>64</v>
      </c>
      <c r="W2" t="s">
        <v>63</v>
      </c>
      <c r="X2" t="s">
        <v>65</v>
      </c>
      <c r="Z2" t="s">
        <v>66</v>
      </c>
      <c r="AA2" t="s">
        <v>67</v>
      </c>
      <c r="AB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266</v>
      </c>
      <c r="AN2" t="s">
        <v>73</v>
      </c>
      <c r="AO2" t="s">
        <v>74</v>
      </c>
      <c r="AP2" t="s">
        <v>272</v>
      </c>
      <c r="AR2" t="s">
        <v>75</v>
      </c>
      <c r="AS2" t="s">
        <v>76</v>
      </c>
      <c r="AT2" t="s">
        <v>77</v>
      </c>
      <c r="AU2" t="str">
        <f>UPPER(AT2)</f>
        <v>BONE</v>
      </c>
      <c r="AV2" t="s">
        <v>78</v>
      </c>
      <c r="AW2" t="s">
        <v>79</v>
      </c>
      <c r="AX2" t="s">
        <v>80</v>
      </c>
      <c r="AY2" t="s">
        <v>287</v>
      </c>
      <c r="AZ2" t="s">
        <v>81</v>
      </c>
      <c r="BA2" t="s">
        <v>82</v>
      </c>
      <c r="BB2" t="s">
        <v>83</v>
      </c>
      <c r="BD2" t="s">
        <v>84</v>
      </c>
    </row>
    <row r="3" spans="1:57" x14ac:dyDescent="0.25">
      <c r="A3" t="s">
        <v>85</v>
      </c>
      <c r="B3" t="s">
        <v>52</v>
      </c>
      <c r="C3" t="s">
        <v>53</v>
      </c>
      <c r="E3" t="s">
        <v>54</v>
      </c>
      <c r="F3" t="s">
        <v>86</v>
      </c>
      <c r="G3" t="s">
        <v>56</v>
      </c>
      <c r="H3" t="s">
        <v>87</v>
      </c>
      <c r="I3" t="s">
        <v>88</v>
      </c>
      <c r="J3" t="s">
        <v>59</v>
      </c>
      <c r="K3" t="s">
        <v>60</v>
      </c>
      <c r="L3" t="s">
        <v>89</v>
      </c>
      <c r="M3" s="2">
        <v>230000</v>
      </c>
      <c r="N3" t="s">
        <v>90</v>
      </c>
      <c r="P3">
        <v>2</v>
      </c>
      <c r="V3" t="s">
        <v>64</v>
      </c>
      <c r="W3" t="s">
        <v>63</v>
      </c>
      <c r="X3" t="s">
        <v>91</v>
      </c>
      <c r="Z3" t="s">
        <v>92</v>
      </c>
      <c r="AB3" t="s">
        <v>68</v>
      </c>
      <c r="AH3" t="s">
        <v>69</v>
      </c>
      <c r="AI3" t="s">
        <v>70</v>
      </c>
      <c r="AJ3" t="s">
        <v>93</v>
      </c>
      <c r="AK3" t="s">
        <v>72</v>
      </c>
      <c r="AL3" t="s">
        <v>265</v>
      </c>
      <c r="AN3" t="s">
        <v>94</v>
      </c>
      <c r="AO3" t="s">
        <v>95</v>
      </c>
      <c r="AP3" t="s">
        <v>273</v>
      </c>
      <c r="AR3" t="s">
        <v>75</v>
      </c>
      <c r="AS3" t="s">
        <v>96</v>
      </c>
      <c r="AT3" t="s">
        <v>97</v>
      </c>
      <c r="AU3" t="str">
        <f t="shared" ref="AU3:AU15" si="0">UPPER(AT3)</f>
        <v>CILACAP</v>
      </c>
      <c r="AV3" t="s">
        <v>98</v>
      </c>
      <c r="AW3" t="s">
        <v>99</v>
      </c>
      <c r="AX3" t="s">
        <v>100</v>
      </c>
      <c r="AY3" t="s">
        <v>286</v>
      </c>
      <c r="AZ3" t="s">
        <v>81</v>
      </c>
      <c r="BA3" t="s">
        <v>82</v>
      </c>
      <c r="BB3" t="s">
        <v>101</v>
      </c>
      <c r="BD3" t="s">
        <v>84</v>
      </c>
    </row>
    <row r="4" spans="1:57" x14ac:dyDescent="0.25">
      <c r="A4" t="s">
        <v>102</v>
      </c>
      <c r="B4" t="s">
        <v>52</v>
      </c>
      <c r="C4" t="s">
        <v>53</v>
      </c>
      <c r="E4" t="s">
        <v>54</v>
      </c>
      <c r="F4" t="s">
        <v>103</v>
      </c>
      <c r="G4" t="s">
        <v>104</v>
      </c>
      <c r="H4" t="s">
        <v>87</v>
      </c>
      <c r="I4" t="s">
        <v>105</v>
      </c>
      <c r="J4" t="s">
        <v>59</v>
      </c>
      <c r="K4" t="s">
        <v>60</v>
      </c>
      <c r="L4" t="s">
        <v>106</v>
      </c>
      <c r="M4" s="2">
        <v>120000</v>
      </c>
      <c r="N4" t="s">
        <v>107</v>
      </c>
      <c r="P4">
        <v>1</v>
      </c>
      <c r="V4" t="s">
        <v>108</v>
      </c>
      <c r="W4" t="s">
        <v>63</v>
      </c>
      <c r="X4" t="s">
        <v>109</v>
      </c>
      <c r="Z4" t="s">
        <v>110</v>
      </c>
      <c r="AB4" t="s">
        <v>68</v>
      </c>
      <c r="AH4" t="s">
        <v>69</v>
      </c>
      <c r="AI4" t="s">
        <v>70</v>
      </c>
      <c r="AJ4" t="s">
        <v>111</v>
      </c>
      <c r="AK4" t="s">
        <v>72</v>
      </c>
      <c r="AL4" t="s">
        <v>265</v>
      </c>
      <c r="AN4" t="s">
        <v>112</v>
      </c>
      <c r="AO4" t="s">
        <v>113</v>
      </c>
      <c r="AP4" t="s">
        <v>274</v>
      </c>
      <c r="AR4" t="s">
        <v>75</v>
      </c>
      <c r="AS4" t="s">
        <v>114</v>
      </c>
      <c r="AT4" t="s">
        <v>115</v>
      </c>
      <c r="AU4" t="str">
        <f t="shared" si="0"/>
        <v>BONDOWOSO</v>
      </c>
      <c r="AV4" t="s">
        <v>116</v>
      </c>
      <c r="AW4" t="s">
        <v>117</v>
      </c>
      <c r="AY4" t="s">
        <v>286</v>
      </c>
      <c r="AZ4" t="s">
        <v>81</v>
      </c>
      <c r="BA4" t="s">
        <v>82</v>
      </c>
      <c r="BB4" t="s">
        <v>118</v>
      </c>
      <c r="BD4" t="s">
        <v>84</v>
      </c>
    </row>
    <row r="5" spans="1:57" x14ac:dyDescent="0.25">
      <c r="A5" t="s">
        <v>119</v>
      </c>
      <c r="B5" t="s">
        <v>52</v>
      </c>
      <c r="C5" t="s">
        <v>53</v>
      </c>
      <c r="E5" t="s">
        <v>54</v>
      </c>
      <c r="F5" t="s">
        <v>103</v>
      </c>
      <c r="G5" t="s">
        <v>104</v>
      </c>
      <c r="H5" t="s">
        <v>87</v>
      </c>
      <c r="I5" t="s">
        <v>105</v>
      </c>
      <c r="J5" t="s">
        <v>59</v>
      </c>
      <c r="K5" t="s">
        <v>60</v>
      </c>
      <c r="L5" t="s">
        <v>106</v>
      </c>
      <c r="M5" s="2">
        <v>120000</v>
      </c>
      <c r="N5" t="s">
        <v>120</v>
      </c>
      <c r="P5">
        <v>1</v>
      </c>
      <c r="V5" t="s">
        <v>121</v>
      </c>
      <c r="W5" t="s">
        <v>63</v>
      </c>
      <c r="X5" t="s">
        <v>122</v>
      </c>
      <c r="Z5" t="s">
        <v>123</v>
      </c>
      <c r="AB5" t="s">
        <v>68</v>
      </c>
      <c r="AH5" t="s">
        <v>69</v>
      </c>
      <c r="AI5" t="s">
        <v>70</v>
      </c>
      <c r="AJ5" t="s">
        <v>124</v>
      </c>
      <c r="AK5" t="s">
        <v>72</v>
      </c>
      <c r="AL5" t="s">
        <v>266</v>
      </c>
      <c r="AN5" t="s">
        <v>125</v>
      </c>
      <c r="AO5" t="s">
        <v>126</v>
      </c>
      <c r="AP5" t="s">
        <v>275</v>
      </c>
      <c r="AR5" t="s">
        <v>75</v>
      </c>
      <c r="AS5" t="s">
        <v>127</v>
      </c>
      <c r="AT5" t="s">
        <v>128</v>
      </c>
      <c r="AU5" t="str">
        <f t="shared" si="0"/>
        <v>PALU</v>
      </c>
      <c r="AV5" t="s">
        <v>129</v>
      </c>
      <c r="AW5" t="s">
        <v>130</v>
      </c>
      <c r="AX5" t="s">
        <v>131</v>
      </c>
      <c r="AY5" t="s">
        <v>286</v>
      </c>
      <c r="AZ5" t="s">
        <v>81</v>
      </c>
      <c r="BA5" t="s">
        <v>82</v>
      </c>
      <c r="BB5" t="s">
        <v>132</v>
      </c>
      <c r="BD5" t="s">
        <v>84</v>
      </c>
    </row>
    <row r="6" spans="1:57" x14ac:dyDescent="0.25">
      <c r="A6" t="s">
        <v>133</v>
      </c>
      <c r="B6" t="s">
        <v>52</v>
      </c>
      <c r="C6" t="s">
        <v>53</v>
      </c>
      <c r="E6" t="s">
        <v>54</v>
      </c>
      <c r="F6" t="s">
        <v>86</v>
      </c>
      <c r="G6" t="s">
        <v>56</v>
      </c>
      <c r="H6" t="s">
        <v>87</v>
      </c>
      <c r="I6" t="s">
        <v>88</v>
      </c>
      <c r="J6" t="s">
        <v>59</v>
      </c>
      <c r="K6" t="s">
        <v>60</v>
      </c>
      <c r="L6" t="s">
        <v>89</v>
      </c>
      <c r="M6" s="2">
        <v>230000</v>
      </c>
      <c r="N6" t="s">
        <v>134</v>
      </c>
      <c r="O6" s="2">
        <v>9750</v>
      </c>
      <c r="P6">
        <v>2</v>
      </c>
      <c r="V6" t="s">
        <v>64</v>
      </c>
      <c r="W6" t="s">
        <v>63</v>
      </c>
      <c r="X6" t="s">
        <v>135</v>
      </c>
      <c r="Z6" t="s">
        <v>136</v>
      </c>
      <c r="AA6" t="s">
        <v>137</v>
      </c>
      <c r="AB6" t="s">
        <v>68</v>
      </c>
      <c r="AH6" t="s">
        <v>69</v>
      </c>
      <c r="AI6" t="s">
        <v>70</v>
      </c>
      <c r="AJ6" t="s">
        <v>138</v>
      </c>
      <c r="AK6" t="s">
        <v>72</v>
      </c>
      <c r="AL6" t="s">
        <v>266</v>
      </c>
      <c r="AN6" t="s">
        <v>139</v>
      </c>
      <c r="AO6" t="s">
        <v>140</v>
      </c>
      <c r="AP6" t="s">
        <v>276</v>
      </c>
      <c r="AR6" t="s">
        <v>75</v>
      </c>
      <c r="AS6" t="s">
        <v>141</v>
      </c>
      <c r="AT6" t="s">
        <v>142</v>
      </c>
      <c r="AU6" t="str">
        <f t="shared" si="0"/>
        <v>KARANGASEM</v>
      </c>
      <c r="AV6" t="s">
        <v>143</v>
      </c>
      <c r="AW6" t="s">
        <v>144</v>
      </c>
      <c r="AX6" t="s">
        <v>145</v>
      </c>
      <c r="AY6" t="s">
        <v>287</v>
      </c>
      <c r="AZ6" t="s">
        <v>81</v>
      </c>
      <c r="BA6" t="s">
        <v>82</v>
      </c>
      <c r="BB6" t="s">
        <v>146</v>
      </c>
      <c r="BD6" t="s">
        <v>84</v>
      </c>
    </row>
    <row r="7" spans="1:57" x14ac:dyDescent="0.25">
      <c r="A7" t="s">
        <v>147</v>
      </c>
      <c r="B7" t="s">
        <v>52</v>
      </c>
      <c r="C7" t="s">
        <v>53</v>
      </c>
      <c r="E7" t="s">
        <v>54</v>
      </c>
      <c r="F7" t="s">
        <v>103</v>
      </c>
      <c r="G7" t="s">
        <v>104</v>
      </c>
      <c r="H7" t="s">
        <v>87</v>
      </c>
      <c r="I7" t="s">
        <v>105</v>
      </c>
      <c r="J7" t="s">
        <v>59</v>
      </c>
      <c r="K7" t="s">
        <v>60</v>
      </c>
      <c r="L7" t="s">
        <v>106</v>
      </c>
      <c r="M7" s="2">
        <v>120000</v>
      </c>
      <c r="N7" t="s">
        <v>148</v>
      </c>
      <c r="P7">
        <v>1</v>
      </c>
      <c r="V7" t="s">
        <v>149</v>
      </c>
      <c r="W7" t="s">
        <v>63</v>
      </c>
      <c r="X7" t="s">
        <v>150</v>
      </c>
      <c r="Z7" t="s">
        <v>151</v>
      </c>
      <c r="AA7" t="s">
        <v>152</v>
      </c>
      <c r="AB7" t="s">
        <v>68</v>
      </c>
      <c r="AH7" t="s">
        <v>69</v>
      </c>
      <c r="AI7" t="s">
        <v>70</v>
      </c>
      <c r="AJ7" t="s">
        <v>153</v>
      </c>
      <c r="AK7" t="s">
        <v>72</v>
      </c>
      <c r="AL7" t="s">
        <v>265</v>
      </c>
      <c r="AN7" t="s">
        <v>154</v>
      </c>
      <c r="AO7" t="s">
        <v>155</v>
      </c>
      <c r="AP7" t="s">
        <v>267</v>
      </c>
      <c r="AR7" t="s">
        <v>75</v>
      </c>
      <c r="AS7" t="s">
        <v>96</v>
      </c>
      <c r="AT7" t="s">
        <v>156</v>
      </c>
      <c r="AU7" t="str">
        <f t="shared" si="0"/>
        <v>BATANG</v>
      </c>
      <c r="AV7" t="s">
        <v>157</v>
      </c>
      <c r="AW7" t="s">
        <v>158</v>
      </c>
      <c r="AX7" t="s">
        <v>159</v>
      </c>
      <c r="AY7" t="s">
        <v>287</v>
      </c>
      <c r="AZ7" t="s">
        <v>81</v>
      </c>
      <c r="BA7" t="s">
        <v>82</v>
      </c>
      <c r="BB7" t="s">
        <v>160</v>
      </c>
      <c r="BD7" t="s">
        <v>84</v>
      </c>
    </row>
    <row r="8" spans="1:57" x14ac:dyDescent="0.25">
      <c r="A8" t="s">
        <v>161</v>
      </c>
      <c r="B8" t="s">
        <v>52</v>
      </c>
      <c r="C8" t="s">
        <v>53</v>
      </c>
      <c r="E8" t="s">
        <v>54</v>
      </c>
      <c r="F8" t="s">
        <v>162</v>
      </c>
      <c r="G8" t="s">
        <v>163</v>
      </c>
      <c r="H8" t="s">
        <v>164</v>
      </c>
      <c r="I8" t="s">
        <v>165</v>
      </c>
      <c r="J8" t="s">
        <v>166</v>
      </c>
      <c r="K8" t="s">
        <v>60</v>
      </c>
      <c r="L8" t="s">
        <v>167</v>
      </c>
      <c r="M8" s="2">
        <v>714000</v>
      </c>
      <c r="N8" t="s">
        <v>168</v>
      </c>
      <c r="O8" s="2">
        <v>64000</v>
      </c>
      <c r="P8">
        <v>6</v>
      </c>
      <c r="V8" t="s">
        <v>169</v>
      </c>
      <c r="W8" t="s">
        <v>63</v>
      </c>
      <c r="X8" t="s">
        <v>170</v>
      </c>
      <c r="Z8" t="s">
        <v>171</v>
      </c>
      <c r="AA8" t="s">
        <v>172</v>
      </c>
      <c r="AB8" t="s">
        <v>173</v>
      </c>
      <c r="AH8" t="s">
        <v>69</v>
      </c>
      <c r="AI8" t="s">
        <v>70</v>
      </c>
      <c r="AJ8" t="s">
        <v>174</v>
      </c>
      <c r="AK8" t="s">
        <v>72</v>
      </c>
      <c r="AL8" t="s">
        <v>265</v>
      </c>
      <c r="AN8" t="s">
        <v>175</v>
      </c>
      <c r="AO8" t="s">
        <v>176</v>
      </c>
      <c r="AP8" t="s">
        <v>277</v>
      </c>
      <c r="AR8" t="s">
        <v>75</v>
      </c>
      <c r="AS8" t="s">
        <v>177</v>
      </c>
      <c r="AT8" t="s">
        <v>178</v>
      </c>
      <c r="AU8" t="str">
        <f t="shared" si="0"/>
        <v>SURABAYA</v>
      </c>
      <c r="AV8" t="s">
        <v>179</v>
      </c>
      <c r="AW8" t="s">
        <v>180</v>
      </c>
      <c r="AY8" t="s">
        <v>287</v>
      </c>
      <c r="AZ8" t="s">
        <v>166</v>
      </c>
      <c r="BA8" t="s">
        <v>82</v>
      </c>
      <c r="BB8" t="s">
        <v>181</v>
      </c>
      <c r="BD8" t="s">
        <v>84</v>
      </c>
    </row>
    <row r="9" spans="1:57" x14ac:dyDescent="0.25">
      <c r="A9" t="s">
        <v>182</v>
      </c>
      <c r="B9" t="s">
        <v>52</v>
      </c>
      <c r="C9" t="s">
        <v>53</v>
      </c>
      <c r="E9" t="s">
        <v>54</v>
      </c>
      <c r="F9" t="s">
        <v>86</v>
      </c>
      <c r="G9" t="s">
        <v>56</v>
      </c>
      <c r="H9" t="s">
        <v>87</v>
      </c>
      <c r="I9" t="s">
        <v>88</v>
      </c>
      <c r="J9" t="s">
        <v>59</v>
      </c>
      <c r="K9" t="s">
        <v>60</v>
      </c>
      <c r="L9" t="s">
        <v>89</v>
      </c>
      <c r="M9" s="2">
        <v>230000</v>
      </c>
      <c r="N9" t="s">
        <v>183</v>
      </c>
      <c r="O9" s="2">
        <v>9750</v>
      </c>
      <c r="P9">
        <v>2</v>
      </c>
      <c r="V9" t="s">
        <v>64</v>
      </c>
      <c r="W9" t="s">
        <v>63</v>
      </c>
      <c r="X9" t="s">
        <v>184</v>
      </c>
      <c r="Z9" t="s">
        <v>185</v>
      </c>
      <c r="AB9" t="s">
        <v>186</v>
      </c>
      <c r="AH9" t="s">
        <v>69</v>
      </c>
      <c r="AI9" t="s">
        <v>70</v>
      </c>
      <c r="AJ9" t="s">
        <v>187</v>
      </c>
      <c r="AK9" t="s">
        <v>72</v>
      </c>
      <c r="AL9" t="s">
        <v>266</v>
      </c>
      <c r="AN9" t="s">
        <v>188</v>
      </c>
      <c r="AO9" t="s">
        <v>189</v>
      </c>
      <c r="AP9" t="s">
        <v>268</v>
      </c>
      <c r="AR9" t="s">
        <v>75</v>
      </c>
      <c r="AS9" t="s">
        <v>190</v>
      </c>
      <c r="AT9" t="s">
        <v>191</v>
      </c>
      <c r="AU9" t="str">
        <f t="shared" si="0"/>
        <v>PENUKAL ABAB LEMATANG ILIR</v>
      </c>
      <c r="AV9" t="s">
        <v>192</v>
      </c>
      <c r="AW9" t="s">
        <v>193</v>
      </c>
      <c r="AY9" t="s">
        <v>286</v>
      </c>
      <c r="AZ9" t="s">
        <v>81</v>
      </c>
      <c r="BA9" t="s">
        <v>82</v>
      </c>
      <c r="BB9" t="s">
        <v>194</v>
      </c>
      <c r="BD9" t="s">
        <v>84</v>
      </c>
    </row>
    <row r="10" spans="1:57" x14ac:dyDescent="0.25">
      <c r="A10" t="s">
        <v>195</v>
      </c>
      <c r="B10" t="s">
        <v>52</v>
      </c>
      <c r="C10" t="s">
        <v>53</v>
      </c>
      <c r="E10" t="s">
        <v>54</v>
      </c>
      <c r="F10" t="s">
        <v>103</v>
      </c>
      <c r="G10" t="s">
        <v>104</v>
      </c>
      <c r="H10" t="s">
        <v>87</v>
      </c>
      <c r="I10" t="s">
        <v>105</v>
      </c>
      <c r="J10" t="s">
        <v>59</v>
      </c>
      <c r="K10" t="s">
        <v>60</v>
      </c>
      <c r="L10" t="s">
        <v>106</v>
      </c>
      <c r="M10" s="2">
        <v>120000</v>
      </c>
      <c r="N10" t="s">
        <v>196</v>
      </c>
      <c r="P10">
        <v>1</v>
      </c>
      <c r="V10" t="s">
        <v>63</v>
      </c>
      <c r="W10" t="s">
        <v>63</v>
      </c>
      <c r="X10" t="s">
        <v>197</v>
      </c>
      <c r="Z10" t="s">
        <v>198</v>
      </c>
      <c r="AB10" t="s">
        <v>173</v>
      </c>
      <c r="AH10" t="s">
        <v>69</v>
      </c>
      <c r="AI10" t="s">
        <v>70</v>
      </c>
      <c r="AJ10" t="s">
        <v>199</v>
      </c>
      <c r="AK10" t="s">
        <v>72</v>
      </c>
      <c r="AL10" t="s">
        <v>265</v>
      </c>
      <c r="AN10" t="s">
        <v>200</v>
      </c>
      <c r="AO10" t="s">
        <v>201</v>
      </c>
      <c r="AP10" t="s">
        <v>278</v>
      </c>
      <c r="AR10" t="s">
        <v>75</v>
      </c>
      <c r="AS10" t="s">
        <v>96</v>
      </c>
      <c r="AT10" t="s">
        <v>281</v>
      </c>
      <c r="AU10" t="str">
        <f t="shared" si="0"/>
        <v>WONOSOBO</v>
      </c>
      <c r="AV10" t="s">
        <v>202</v>
      </c>
      <c r="AW10" t="s">
        <v>203</v>
      </c>
      <c r="AX10" t="s">
        <v>204</v>
      </c>
      <c r="AY10" t="s">
        <v>286</v>
      </c>
      <c r="AZ10" t="s">
        <v>81</v>
      </c>
      <c r="BA10" t="s">
        <v>82</v>
      </c>
      <c r="BB10" t="s">
        <v>205</v>
      </c>
      <c r="BD10" t="s">
        <v>84</v>
      </c>
    </row>
    <row r="11" spans="1:57" x14ac:dyDescent="0.25">
      <c r="A11" t="s">
        <v>206</v>
      </c>
      <c r="B11" t="s">
        <v>52</v>
      </c>
      <c r="C11" t="s">
        <v>53</v>
      </c>
      <c r="E11" t="s">
        <v>54</v>
      </c>
      <c r="F11" t="s">
        <v>103</v>
      </c>
      <c r="G11" t="s">
        <v>104</v>
      </c>
      <c r="H11" t="s">
        <v>87</v>
      </c>
      <c r="I11" t="s">
        <v>105</v>
      </c>
      <c r="J11" t="s">
        <v>59</v>
      </c>
      <c r="K11" t="s">
        <v>60</v>
      </c>
      <c r="L11" t="s">
        <v>106</v>
      </c>
      <c r="M11" s="2">
        <v>120000</v>
      </c>
      <c r="N11" t="s">
        <v>207</v>
      </c>
      <c r="P11">
        <v>1</v>
      </c>
      <c r="V11" t="s">
        <v>208</v>
      </c>
      <c r="W11" t="s">
        <v>63</v>
      </c>
      <c r="X11" t="s">
        <v>209</v>
      </c>
      <c r="Z11" t="s">
        <v>210</v>
      </c>
      <c r="AA11" t="s">
        <v>211</v>
      </c>
      <c r="AB11" t="s">
        <v>186</v>
      </c>
      <c r="AH11" t="s">
        <v>69</v>
      </c>
      <c r="AI11" t="s">
        <v>70</v>
      </c>
      <c r="AJ11" t="s">
        <v>212</v>
      </c>
      <c r="AK11" t="s">
        <v>72</v>
      </c>
      <c r="AL11" t="s">
        <v>266</v>
      </c>
      <c r="AN11" t="s">
        <v>213</v>
      </c>
      <c r="AO11" t="s">
        <v>214</v>
      </c>
      <c r="AP11" t="s">
        <v>269</v>
      </c>
      <c r="AR11" t="s">
        <v>75</v>
      </c>
      <c r="AS11" t="s">
        <v>215</v>
      </c>
      <c r="AT11" t="s">
        <v>283</v>
      </c>
      <c r="AU11" t="str">
        <f t="shared" si="0"/>
        <v>BEKASI</v>
      </c>
      <c r="AV11" t="s">
        <v>216</v>
      </c>
      <c r="AW11" t="s">
        <v>217</v>
      </c>
      <c r="AX11" t="s">
        <v>218</v>
      </c>
      <c r="AY11" t="s">
        <v>287</v>
      </c>
      <c r="AZ11" t="s">
        <v>81</v>
      </c>
      <c r="BA11" t="s">
        <v>82</v>
      </c>
      <c r="BB11" t="s">
        <v>219</v>
      </c>
      <c r="BD11" t="s">
        <v>84</v>
      </c>
    </row>
    <row r="12" spans="1:57" x14ac:dyDescent="0.25">
      <c r="A12" t="s">
        <v>220</v>
      </c>
      <c r="B12" t="s">
        <v>52</v>
      </c>
      <c r="C12" t="s">
        <v>53</v>
      </c>
      <c r="E12" t="s">
        <v>54</v>
      </c>
      <c r="F12" t="s">
        <v>103</v>
      </c>
      <c r="G12" t="s">
        <v>104</v>
      </c>
      <c r="H12" t="s">
        <v>87</v>
      </c>
      <c r="I12" t="s">
        <v>105</v>
      </c>
      <c r="J12" t="s">
        <v>59</v>
      </c>
      <c r="K12" t="s">
        <v>60</v>
      </c>
      <c r="L12" t="s">
        <v>106</v>
      </c>
      <c r="M12" s="2">
        <v>120000</v>
      </c>
      <c r="N12" t="s">
        <v>221</v>
      </c>
      <c r="P12">
        <v>1</v>
      </c>
      <c r="V12" t="s">
        <v>208</v>
      </c>
      <c r="W12" t="s">
        <v>63</v>
      </c>
      <c r="X12" t="s">
        <v>222</v>
      </c>
      <c r="Z12" t="s">
        <v>223</v>
      </c>
      <c r="AB12" t="s">
        <v>186</v>
      </c>
      <c r="AH12" t="s">
        <v>69</v>
      </c>
      <c r="AI12" t="s">
        <v>70</v>
      </c>
      <c r="AJ12" t="s">
        <v>224</v>
      </c>
      <c r="AK12" t="s">
        <v>72</v>
      </c>
      <c r="AL12" t="s">
        <v>266</v>
      </c>
      <c r="AN12" t="s">
        <v>225</v>
      </c>
      <c r="AO12" t="s">
        <v>226</v>
      </c>
      <c r="AP12" t="s">
        <v>279</v>
      </c>
      <c r="AR12" t="s">
        <v>75</v>
      </c>
      <c r="AS12" t="s">
        <v>227</v>
      </c>
      <c r="AT12" t="s">
        <v>284</v>
      </c>
      <c r="AU12" t="str">
        <f t="shared" si="0"/>
        <v>ADMINISTRASI JAKARTA SELATAN</v>
      </c>
      <c r="AV12" t="s">
        <v>228</v>
      </c>
      <c r="AW12" t="s">
        <v>229</v>
      </c>
      <c r="AY12" t="s">
        <v>286</v>
      </c>
      <c r="AZ12" t="s">
        <v>81</v>
      </c>
      <c r="BA12" t="s">
        <v>82</v>
      </c>
      <c r="BB12" t="s">
        <v>230</v>
      </c>
      <c r="BD12" t="s">
        <v>84</v>
      </c>
    </row>
    <row r="13" spans="1:57" x14ac:dyDescent="0.25">
      <c r="A13" t="s">
        <v>231</v>
      </c>
      <c r="B13" t="s">
        <v>52</v>
      </c>
      <c r="C13" t="s">
        <v>53</v>
      </c>
      <c r="E13" t="s">
        <v>54</v>
      </c>
      <c r="F13" t="s">
        <v>86</v>
      </c>
      <c r="G13" t="s">
        <v>56</v>
      </c>
      <c r="H13" t="s">
        <v>87</v>
      </c>
      <c r="I13" t="s">
        <v>88</v>
      </c>
      <c r="J13" t="s">
        <v>59</v>
      </c>
      <c r="K13" t="s">
        <v>60</v>
      </c>
      <c r="L13" t="s">
        <v>89</v>
      </c>
      <c r="M13" s="2">
        <v>230000</v>
      </c>
      <c r="N13" t="s">
        <v>232</v>
      </c>
      <c r="O13" s="2">
        <v>9750</v>
      </c>
      <c r="P13">
        <v>2</v>
      </c>
      <c r="V13" t="s">
        <v>64</v>
      </c>
      <c r="W13" t="s">
        <v>63</v>
      </c>
      <c r="X13" t="s">
        <v>233</v>
      </c>
      <c r="Z13" t="s">
        <v>234</v>
      </c>
      <c r="AB13" t="s">
        <v>173</v>
      </c>
      <c r="AH13" t="s">
        <v>69</v>
      </c>
      <c r="AI13" t="s">
        <v>70</v>
      </c>
      <c r="AJ13" t="s">
        <v>235</v>
      </c>
      <c r="AK13" t="s">
        <v>72</v>
      </c>
      <c r="AL13" t="s">
        <v>266</v>
      </c>
      <c r="AN13" t="s">
        <v>236</v>
      </c>
      <c r="AO13" t="s">
        <v>237</v>
      </c>
      <c r="AP13" t="s">
        <v>270</v>
      </c>
      <c r="AR13" t="s">
        <v>75</v>
      </c>
      <c r="AS13" t="s">
        <v>238</v>
      </c>
      <c r="AT13" t="s">
        <v>239</v>
      </c>
      <c r="AU13" t="str">
        <f t="shared" si="0"/>
        <v>NUNUKAN</v>
      </c>
      <c r="AV13" t="s">
        <v>240</v>
      </c>
      <c r="AW13" t="s">
        <v>241</v>
      </c>
      <c r="AY13" t="s">
        <v>286</v>
      </c>
      <c r="AZ13" t="s">
        <v>81</v>
      </c>
      <c r="BA13" t="s">
        <v>82</v>
      </c>
      <c r="BB13" t="s">
        <v>242</v>
      </c>
      <c r="BD13" t="s">
        <v>84</v>
      </c>
    </row>
    <row r="14" spans="1:57" x14ac:dyDescent="0.25">
      <c r="A14" t="s">
        <v>243</v>
      </c>
      <c r="B14" t="s">
        <v>52</v>
      </c>
      <c r="C14" t="s">
        <v>53</v>
      </c>
      <c r="E14" t="s">
        <v>54</v>
      </c>
      <c r="F14" t="s">
        <v>103</v>
      </c>
      <c r="G14" t="s">
        <v>104</v>
      </c>
      <c r="H14" t="s">
        <v>87</v>
      </c>
      <c r="I14" t="s">
        <v>105</v>
      </c>
      <c r="J14" t="s">
        <v>59</v>
      </c>
      <c r="K14" t="s">
        <v>60</v>
      </c>
      <c r="L14" t="s">
        <v>106</v>
      </c>
      <c r="M14" s="2">
        <v>120000</v>
      </c>
      <c r="N14" t="s">
        <v>107</v>
      </c>
      <c r="P14">
        <v>1</v>
      </c>
      <c r="V14" t="s">
        <v>64</v>
      </c>
      <c r="W14" t="s">
        <v>63</v>
      </c>
      <c r="X14" t="s">
        <v>244</v>
      </c>
      <c r="Z14" t="s">
        <v>245</v>
      </c>
      <c r="AB14" t="s">
        <v>186</v>
      </c>
      <c r="AH14" t="s">
        <v>69</v>
      </c>
      <c r="AI14" t="s">
        <v>70</v>
      </c>
      <c r="AJ14" t="s">
        <v>246</v>
      </c>
      <c r="AK14" t="s">
        <v>72</v>
      </c>
      <c r="AL14" t="s">
        <v>265</v>
      </c>
      <c r="AN14" t="s">
        <v>247</v>
      </c>
      <c r="AO14" t="s">
        <v>248</v>
      </c>
      <c r="AP14" t="s">
        <v>280</v>
      </c>
      <c r="AR14" t="s">
        <v>75</v>
      </c>
      <c r="AS14" t="s">
        <v>215</v>
      </c>
      <c r="AT14" t="s">
        <v>249</v>
      </c>
      <c r="AU14" t="str">
        <f t="shared" si="0"/>
        <v>MAJALENGKA</v>
      </c>
      <c r="AV14" t="s">
        <v>250</v>
      </c>
      <c r="AW14" t="s">
        <v>251</v>
      </c>
      <c r="AY14" t="s">
        <v>286</v>
      </c>
      <c r="AZ14" t="s">
        <v>81</v>
      </c>
      <c r="BA14" t="s">
        <v>82</v>
      </c>
      <c r="BB14" t="s">
        <v>252</v>
      </c>
      <c r="BD14" t="s">
        <v>84</v>
      </c>
    </row>
    <row r="15" spans="1:57" x14ac:dyDescent="0.25">
      <c r="A15" t="s">
        <v>253</v>
      </c>
      <c r="B15" t="s">
        <v>52</v>
      </c>
      <c r="C15" t="s">
        <v>53</v>
      </c>
      <c r="E15" t="s">
        <v>54</v>
      </c>
      <c r="F15" t="s">
        <v>103</v>
      </c>
      <c r="G15" t="s">
        <v>104</v>
      </c>
      <c r="H15" t="s">
        <v>87</v>
      </c>
      <c r="I15" t="s">
        <v>105</v>
      </c>
      <c r="J15" t="s">
        <v>59</v>
      </c>
      <c r="K15" t="s">
        <v>60</v>
      </c>
      <c r="L15" t="s">
        <v>106</v>
      </c>
      <c r="M15" s="2">
        <v>120000</v>
      </c>
      <c r="N15" t="s">
        <v>107</v>
      </c>
      <c r="P15">
        <v>1</v>
      </c>
      <c r="V15" t="s">
        <v>254</v>
      </c>
      <c r="W15" t="s">
        <v>63</v>
      </c>
      <c r="X15" t="s">
        <v>255</v>
      </c>
      <c r="Z15" t="s">
        <v>256</v>
      </c>
      <c r="AB15" t="s">
        <v>257</v>
      </c>
      <c r="AH15" t="s">
        <v>69</v>
      </c>
      <c r="AI15" t="s">
        <v>70</v>
      </c>
      <c r="AJ15" t="s">
        <v>258</v>
      </c>
      <c r="AK15" t="s">
        <v>72</v>
      </c>
      <c r="AL15" t="s">
        <v>266</v>
      </c>
      <c r="AN15" t="s">
        <v>259</v>
      </c>
      <c r="AO15" t="s">
        <v>260</v>
      </c>
      <c r="AP15" t="s">
        <v>271</v>
      </c>
      <c r="AR15" t="s">
        <v>75</v>
      </c>
      <c r="AS15" t="s">
        <v>261</v>
      </c>
      <c r="AT15" t="s">
        <v>285</v>
      </c>
      <c r="AU15" t="str">
        <f t="shared" si="0"/>
        <v>PEKANBARU</v>
      </c>
      <c r="AV15" t="s">
        <v>262</v>
      </c>
      <c r="AW15" t="s">
        <v>263</v>
      </c>
      <c r="AY15" t="s">
        <v>286</v>
      </c>
      <c r="AZ15" t="s">
        <v>81</v>
      </c>
      <c r="BA15" t="s">
        <v>82</v>
      </c>
      <c r="BB15" t="s">
        <v>264</v>
      </c>
      <c r="BD15" t="s">
        <v>84</v>
      </c>
    </row>
  </sheetData>
  <autoFilter ref="A1:BE15" xr:uid="{497FEDE2-81C8-41E7-B274-0DE0C6A83B80}"/>
  <conditionalFormatting sqref="AJ1:A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2024-12-18T07:52:15Z</dcterms:modified>
</cp:coreProperties>
</file>