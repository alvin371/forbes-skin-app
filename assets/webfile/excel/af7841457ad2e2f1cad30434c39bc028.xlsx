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BF05FAB-6E07-4B90-9655-9EDA567C1878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EP" sheetId="2" r:id="rId1"/>
    <sheet name="OKT" sheetId="3" r:id="rId2"/>
  </sheets>
  <definedNames>
    <definedName name="_xlnm._FilterDatabase" localSheetId="0" hidden="1">SEP!$A$1:$BE$19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3" l="1"/>
  <c r="AU2" i="3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" i="2"/>
</calcChain>
</file>

<file path=xl/sharedStrings.xml><?xml version="1.0" encoding="utf-8"?>
<sst xmlns="http://schemas.openxmlformats.org/spreadsheetml/2006/main" count="782" uniqueCount="334">
  <si>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</si>
  <si>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</si>
  <si>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</si>
  <si>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</si>
  <si>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</si>
  <si>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</si>
  <si>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</si>
  <si>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</si>
  <si>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</si>
  <si>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</si>
  <si>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</si>
  <si>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</si>
  <si>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</si>
  <si>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</si>
  <si>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</si>
  <si>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</si>
  <si>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</si>
  <si>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</si>
  <si>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</si>
  <si>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</si>
  <si>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</si>
  <si>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</si>
  <si>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</si>
  <si>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</si>
  <si>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</si>
  <si>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</si>
  <si>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</si>
  <si>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</si>
  <si>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</si>
  <si>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</si>
  <si>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</si>
  <si>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</si>
  <si>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</si>
  <si>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</si>
  <si>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</si>
  <si>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</si>
  <si>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</si>
  <si>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</si>
  <si>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</si>
  <si>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</si>
  <si>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</si>
  <si>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</si>
  <si>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</si>
  <si>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</si>
  <si>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</si>
  <si>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</si>
  <si>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</si>
  <si>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</si>
  <si>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577268609928169171</t>
  </si>
  <si>
    <t>To ship</t>
  </si>
  <si>
    <t>Awaiting Collection</t>
  </si>
  <si>
    <t>Normal</t>
  </si>
  <si>
    <t>1730184425475311504</t>
  </si>
  <si>
    <t>MV-STRIP</t>
  </si>
  <si>
    <t>Miscella-V - Pelancar Siklus &amp; Nyeri Wanita - 60 Kapsul - Manjakani - Probiotik - Kunyit - Jinten Hitam - Serai</t>
  </si>
  <si>
    <t>1 STRIP 10 KAPSUL</t>
  </si>
  <si>
    <t>1</t>
  </si>
  <si>
    <t>0</t>
  </si>
  <si>
    <t>IDR 30.000</t>
  </si>
  <si>
    <t>IDR 3.000</t>
  </si>
  <si>
    <t>IDR 0</t>
  </si>
  <si>
    <t>IDR 28.000</t>
  </si>
  <si>
    <t>30/09/2024 15:12:40</t>
  </si>
  <si>
    <t>01/10/2024 08:19:20</t>
  </si>
  <si>
    <t>Fulfillment by seller</t>
  </si>
  <si>
    <t>Kantor BHSKIN</t>
  </si>
  <si>
    <t>JX2846017756</t>
  </si>
  <si>
    <t>Pengiriman standar</t>
  </si>
  <si>
    <t>user931546316</t>
  </si>
  <si>
    <t>h***** w***</t>
  </si>
  <si>
    <t>Indonesia</t>
  </si>
  <si>
    <t>Jawa Barat</t>
  </si>
  <si>
    <t>Ke******* ******</t>
  </si>
  <si>
    <t>rt*** ***** ** ************* ** ***** ( ***** ****)*** **** ************ **** ******** *****</t>
  </si>
  <si>
    <t>0.2</t>
  </si>
  <si>
    <t>Wellness Supplements</t>
  </si>
  <si>
    <t>1155115549344958163</t>
  </si>
  <si>
    <t>Unchecked</t>
  </si>
  <si>
    <t>577268622008943706</t>
  </si>
  <si>
    <t>1730184425475245968</t>
  </si>
  <si>
    <t>MV-BOX</t>
  </si>
  <si>
    <t>1 BOX 60 KAPSUL</t>
  </si>
  <si>
    <t>IDR 130.000</t>
  </si>
  <si>
    <t>IDR 12.000</t>
  </si>
  <si>
    <t>IDR 109.000</t>
  </si>
  <si>
    <t>30/09/2024 15:15:44</t>
  </si>
  <si>
    <t>30/09/2024 15:16:10</t>
  </si>
  <si>
    <t>JX2844017756</t>
  </si>
  <si>
    <t>piscess_373</t>
  </si>
  <si>
    <t>m*****</t>
  </si>
  <si>
    <t>Jawa Timur</t>
  </si>
  <si>
    <t>Ba****</t>
  </si>
  <si>
    <t>Jl* **** ******** *****</t>
  </si>
  <si>
    <t>Ha** ******</t>
  </si>
  <si>
    <t>1155115698224464986</t>
  </si>
  <si>
    <t>577268634442237041</t>
  </si>
  <si>
    <t>30/09/2024 15:20:12</t>
  </si>
  <si>
    <t>JX2846037756</t>
  </si>
  <si>
    <t>user5616136192579</t>
  </si>
  <si>
    <t>j******</t>
  </si>
  <si>
    <t>Ke******* *******</t>
  </si>
  <si>
    <t>RT ** **  ** ***** *****</t>
  </si>
  <si>
    <t>1155115732977550449</t>
  </si>
  <si>
    <t>577268638650893335</t>
  </si>
  <si>
    <t>IDR 22.500</t>
  </si>
  <si>
    <t>30/09/2024 15:22:21</t>
  </si>
  <si>
    <t>JX2844057756</t>
  </si>
  <si>
    <t>sitohang253</t>
  </si>
  <si>
    <t>l**** s*******</t>
  </si>
  <si>
    <t>Bali</t>
  </si>
  <si>
    <t>Ke*****</t>
  </si>
  <si>
    <t>Jl* ***** *** *** ***** ****** ******</t>
  </si>
  <si>
    <t>ko* ***** ******* *** ***** ***</t>
  </si>
  <si>
    <t>1155115742186472471</t>
  </si>
  <si>
    <t>577268680117290366</t>
  </si>
  <si>
    <t>1730184534585870224</t>
  </si>
  <si>
    <t>LV-S</t>
  </si>
  <si>
    <t>Lacto-V Spray by Miscella-G Perawatan Feminine Hygiene</t>
  </si>
  <si>
    <t>Default</t>
  </si>
  <si>
    <t>IDR 115.000</t>
  </si>
  <si>
    <t>IDR 9.500</t>
  </si>
  <si>
    <t>IDR 86.500</t>
  </si>
  <si>
    <t>30/09/2024 15:35:28</t>
  </si>
  <si>
    <t>30/09/2024 15:36:15</t>
  </si>
  <si>
    <t>JX2844097756</t>
  </si>
  <si>
    <t>hallonop_13</t>
  </si>
  <si>
    <t>N**** E****** B** T****</t>
  </si>
  <si>
    <t>Jawa Tengah</t>
  </si>
  <si>
    <t>Purworejo</t>
  </si>
  <si>
    <t>Wi**** **********</t>
  </si>
  <si>
    <t>Rt** ** **</t>
  </si>
  <si>
    <t>0.5</t>
  </si>
  <si>
    <t>Feminine Hygiene</t>
  </si>
  <si>
    <t>1155115980011111806</t>
  </si>
  <si>
    <t>577269027984934612</t>
  </si>
  <si>
    <t>1730184300016011152</t>
  </si>
  <si>
    <t>1-MG</t>
  </si>
  <si>
    <t>1 Box Miscella-G isi 10 Sachet || MISCELLA-G</t>
  </si>
  <si>
    <t>IDR 250.000</t>
  </si>
  <si>
    <t>IDR 25.000</t>
  </si>
  <si>
    <t>IDR 202.500</t>
  </si>
  <si>
    <t>IDR 204.500</t>
  </si>
  <si>
    <t>30/09/2024 17:32:32</t>
  </si>
  <si>
    <t>JX2845097756</t>
  </si>
  <si>
    <t>lascant_ferii</t>
  </si>
  <si>
    <t>T** l******</t>
  </si>
  <si>
    <t>Karanganyar</t>
  </si>
  <si>
    <t>Ku**</t>
  </si>
  <si>
    <t>jl************** ** ** ** ** **********************</t>
  </si>
  <si>
    <t>0.25</t>
  </si>
  <si>
    <t>1155117691680032468</t>
  </si>
  <si>
    <t>577269112101111225</t>
  </si>
  <si>
    <t>30/09/2024 17:59:42</t>
  </si>
  <si>
    <t>JX2845307458</t>
  </si>
  <si>
    <t>fadilatul.mukarom7</t>
  </si>
  <si>
    <t>f**** a***</t>
  </si>
  <si>
    <t>Re******</t>
  </si>
  <si>
    <t>jl********** ****** ***** ******** **** *****</t>
  </si>
  <si>
    <t>1155118018721777081</t>
  </si>
  <si>
    <t>577269594516391509</t>
  </si>
  <si>
    <t>1730185136114927504</t>
  </si>
  <si>
    <t>MV + LV-S + LV-W</t>
  </si>
  <si>
    <t>[PAKET SUPER HEMAT] Miscella-V | Lacto-V Spray | Lacto-V Wash || BPOM</t>
  </si>
  <si>
    <t>IDR 330.000</t>
  </si>
  <si>
    <t>IDR 303.000</t>
  </si>
  <si>
    <t>30/09/2024 20:10:45</t>
  </si>
  <si>
    <t>JX2844387458</t>
  </si>
  <si>
    <t>hanursaadatunhanur</t>
  </si>
  <si>
    <t>s**** f*******</t>
  </si>
  <si>
    <t>Jepara</t>
  </si>
  <si>
    <t>De** ********</t>
  </si>
  <si>
    <t>Ge****** ********* ********** ******** *********</t>
  </si>
  <si>
    <t>si*** ********</t>
  </si>
  <si>
    <t>Vaginal Cream</t>
  </si>
  <si>
    <t>1155119810023360085</t>
  </si>
  <si>
    <t>577269672047314355</t>
  </si>
  <si>
    <t>1730184895678023568</t>
  </si>
  <si>
    <t>2-MG</t>
  </si>
  <si>
    <t>2 BOX MISCELLA-G || 30 Hari Konsultasi</t>
  </si>
  <si>
    <t>IDR 500.000</t>
  </si>
  <si>
    <t>IDR 419.000</t>
  </si>
  <si>
    <t>30/09/2024 20:30:53</t>
  </si>
  <si>
    <t>30/09/2024 20:32:24</t>
  </si>
  <si>
    <t>JX2843037756</t>
  </si>
  <si>
    <t>dwijati551456466</t>
  </si>
  <si>
    <t>D******</t>
  </si>
  <si>
    <t>Yogyakarta</t>
  </si>
  <si>
    <t>Bantul</t>
  </si>
  <si>
    <t>Ta*****</t>
  </si>
  <si>
    <t>Do****** ** ** ******* *********** ******* **** ******* ************ ** *********** *** *****</t>
  </si>
  <si>
    <t>Ru***</t>
  </si>
  <si>
    <t>1155120037918639539</t>
  </si>
  <si>
    <t>577269695971035071</t>
  </si>
  <si>
    <t>30/09/2024 20:35:59</t>
  </si>
  <si>
    <t>JX2847037756</t>
  </si>
  <si>
    <t>naylislish</t>
  </si>
  <si>
    <t>N*****</t>
  </si>
  <si>
    <t>Pe*******</t>
  </si>
  <si>
    <t>To** ****** ***** ********** *********</t>
  </si>
  <si>
    <t>1155120122416826303</t>
  </si>
  <si>
    <t>577269740417091098</t>
  </si>
  <si>
    <t>30/09/2024 20:47:49</t>
  </si>
  <si>
    <t>JX2844077756</t>
  </si>
  <si>
    <t>user4923024237555</t>
  </si>
  <si>
    <t>y***</t>
  </si>
  <si>
    <t>Ka*********</t>
  </si>
  <si>
    <t>jl****** ******** *********** ** ** ** ** ****** ********</t>
  </si>
  <si>
    <t>1155120208448161306</t>
  </si>
  <si>
    <t>577269741542606601</t>
  </si>
  <si>
    <t>30/09/2024 20:49:02</t>
  </si>
  <si>
    <t>JX2845017756</t>
  </si>
  <si>
    <t>cimeydjati</t>
  </si>
  <si>
    <t>C****</t>
  </si>
  <si>
    <t>Sleman</t>
  </si>
  <si>
    <t>Co***** *****</t>
  </si>
  <si>
    <t>TB* ***** ********* ***** ********* ****** ****** ************</t>
  </si>
  <si>
    <t>1155120258711586569</t>
  </si>
  <si>
    <t>577269771354408806</t>
  </si>
  <si>
    <t>IDR 106.500</t>
  </si>
  <si>
    <t>30/09/2024 20:56:24</t>
  </si>
  <si>
    <t>JX2845037756</t>
  </si>
  <si>
    <t>user2671509997545</t>
  </si>
  <si>
    <t>S** W*****</t>
  </si>
  <si>
    <t>Sulawesi Tengah</t>
  </si>
  <si>
    <t>Palu</t>
  </si>
  <si>
    <t>La*****</t>
  </si>
  <si>
    <t>Ja*** ******* ****** **</t>
  </si>
  <si>
    <t>Jl* ***** ******* ** ******** ***** **** *****)</t>
  </si>
  <si>
    <t>1155120340890847078</t>
  </si>
  <si>
    <t>577269787074463386</t>
  </si>
  <si>
    <t>30/09/2024 20:57:19</t>
  </si>
  <si>
    <t>JX2845077756</t>
  </si>
  <si>
    <t>user3088782500913</t>
  </si>
  <si>
    <t>Batang</t>
  </si>
  <si>
    <t>Kr******</t>
  </si>
  <si>
    <t>dk ********** **** **** ** ******** *** ******* *** ****** **** ******</t>
  </si>
  <si>
    <t>1155120368664348314</t>
  </si>
  <si>
    <t>577269900892341689</t>
  </si>
  <si>
    <t>30/09/2024 21:29:46</t>
  </si>
  <si>
    <t>JX2843057756</t>
  </si>
  <si>
    <t>1155120769067484601</t>
  </si>
  <si>
    <t>577269940523730864</t>
  </si>
  <si>
    <t>30/09/2024 21:39:45</t>
  </si>
  <si>
    <t>30/09/2024 21:40:23</t>
  </si>
  <si>
    <t>JX2845327458</t>
  </si>
  <si>
    <t>kafs982</t>
  </si>
  <si>
    <t>K******* A***** F******* S</t>
  </si>
  <si>
    <t>Tl*********</t>
  </si>
  <si>
    <t>JA** *****- **** ********- *******-*****(**** ************ ***** ** ***** ********* ********** ************ *******)</t>
  </si>
  <si>
    <t>1155120922032441264</t>
  </si>
  <si>
    <t>577270144329746364</t>
  </si>
  <si>
    <t>30/09/2024 22:44:40</t>
  </si>
  <si>
    <t>JX2844037756</t>
  </si>
  <si>
    <t>ludfiyai0141</t>
  </si>
  <si>
    <t>l******</t>
  </si>
  <si>
    <t>Lumajang</t>
  </si>
  <si>
    <t>De** ***********</t>
  </si>
  <si>
    <t>du*** ** **** **** ******* **** ** *** ** *** ********* **********</t>
  </si>
  <si>
    <t>1155121533640542140</t>
  </si>
  <si>
    <t>577270162910251002</t>
  </si>
  <si>
    <t>1730184332690884496</t>
  </si>
  <si>
    <t>Miscella-G isi 10 sachet perbox || MISCELLA-G</t>
  </si>
  <si>
    <t>1 BOX MISCELLA-G</t>
  </si>
  <si>
    <t>IDR 225.000</t>
  </si>
  <si>
    <t>30/09/2024 22:51:55</t>
  </si>
  <si>
    <t>JX2843097756</t>
  </si>
  <si>
    <t>rat1l02</t>
  </si>
  <si>
    <t>m* r***</t>
  </si>
  <si>
    <t>DKI Jakarta</t>
  </si>
  <si>
    <t>Jakarta Utara</t>
  </si>
  <si>
    <t>Ma*****</t>
  </si>
  <si>
    <t>Ko****** *** ** ****** *********** * ** * ** ***** ***** **********</t>
  </si>
  <si>
    <t>fl** * ** * ** **</t>
  </si>
  <si>
    <t>0.75</t>
  </si>
  <si>
    <t>Beauty Supplement</t>
  </si>
  <si>
    <t>1155121611824203770</t>
  </si>
  <si>
    <t>577270576216114181</t>
  </si>
  <si>
    <t>IDR 171.000</t>
  </si>
  <si>
    <t>01/10/2024 05:42:03</t>
  </si>
  <si>
    <t>JX2843077756</t>
  </si>
  <si>
    <t>anihisniwidaya</t>
  </si>
  <si>
    <t>A*****</t>
  </si>
  <si>
    <t>Sumatera Selatan</t>
  </si>
  <si>
    <t>Mu*** ****</t>
  </si>
  <si>
    <t>Ko*** ******* ***** ** ** *** ** ***</t>
  </si>
  <si>
    <t>be****** **** ****</t>
  </si>
  <si>
    <t>1155123279984428037</t>
  </si>
  <si>
    <t>577270676904379947</t>
  </si>
  <si>
    <t>IDR 31.000</t>
  </si>
  <si>
    <t>01/10/2024 06:50:18</t>
  </si>
  <si>
    <t>JX2843017756</t>
  </si>
  <si>
    <t>monixmonika</t>
  </si>
  <si>
    <t>n****  s*********</t>
  </si>
  <si>
    <t>Mu********</t>
  </si>
  <si>
    <t>Ja*** ***** * ** ** ** ** ** ** ********** ******** **** ******</t>
  </si>
  <si>
    <t>jl ***** * ** ** ** ** ** ** ********** *************  ******</t>
  </si>
  <si>
    <t>1155123677361309227</t>
  </si>
  <si>
    <t>J&amp;T</t>
  </si>
  <si>
    <t>6285*******52</t>
  </si>
  <si>
    <t>6285*******23</t>
  </si>
  <si>
    <t>6282*******03</t>
  </si>
  <si>
    <t>6285*******40</t>
  </si>
  <si>
    <t>6282*******54</t>
  </si>
  <si>
    <t>6282*******39</t>
  </si>
  <si>
    <t>6285*******71</t>
  </si>
  <si>
    <t>6283*******22</t>
  </si>
  <si>
    <t>62857******41</t>
  </si>
  <si>
    <t>62857******28</t>
  </si>
  <si>
    <t>62856******14</t>
  </si>
  <si>
    <t>62812******41</t>
  </si>
  <si>
    <t>62821******05</t>
  </si>
  <si>
    <t>62898*****97</t>
  </si>
  <si>
    <t>62896******00</t>
  </si>
  <si>
    <t>62813******80</t>
  </si>
  <si>
    <t>62895*******94</t>
  </si>
  <si>
    <t>62822******82</t>
  </si>
  <si>
    <t>62822******39</t>
  </si>
  <si>
    <t>Regency and</t>
  </si>
  <si>
    <t>Bekasi</t>
  </si>
  <si>
    <t xml:space="preserve"> Cilacap</t>
  </si>
  <si>
    <t xml:space="preserve"> Sidoarjo</t>
  </si>
  <si>
    <t>Sidoarjo</t>
  </si>
  <si>
    <t>Situbondo</t>
  </si>
  <si>
    <t>Gianyar</t>
  </si>
  <si>
    <t>Pemalang</t>
  </si>
  <si>
    <t>Lamongan</t>
  </si>
  <si>
    <t>Muara Enim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</si>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</sst>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3" fontId="0" fillId="2" borderId="0" xfId="0" applyNumberFormat="1" applyFill="1"/>
    <xf numFmtId="3" fontId="1" fillId="2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9"/>
  <sheetViews>
    <sheetView topLeftCell="Z1" workbookViewId="0">
      <selection activeCell="AP2" sqref="AP2:AP19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26" max="26" width="18.5703125" style="1" bestFit="1" customWidth="1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329</v>
      </c>
      <c r="Q1" s="1" t="s">
        <v>330</v>
      </c>
      <c r="R1" t="s">
        <v>331</v>
      </c>
      <c r="S1" s="1" t="s">
        <v>332</v>
      </c>
      <c r="T1" t="s">
        <v>333</v>
      </c>
      <c r="X1" t="s">
        <v>15</v>
      </c>
      <c r="Y1" t="s">
        <v>16</v>
      </c>
      <c r="Z1" s="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317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</row>
    <row r="2" spans="1:57" x14ac:dyDescent="0.25">
      <c r="A2" t="s">
        <v>48</v>
      </c>
      <c r="B2" t="s">
        <v>49</v>
      </c>
      <c r="C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s="4">
        <v>30000</v>
      </c>
      <c r="N2" t="s">
        <v>59</v>
      </c>
      <c r="R2">
        <v>1</v>
      </c>
      <c r="X2" t="s">
        <v>61</v>
      </c>
      <c r="Z2" s="1" t="s">
        <v>62</v>
      </c>
      <c r="AB2" t="s">
        <v>63</v>
      </c>
      <c r="AH2" t="s">
        <v>64</v>
      </c>
      <c r="AI2" t="s">
        <v>65</v>
      </c>
      <c r="AJ2" t="s">
        <v>66</v>
      </c>
      <c r="AK2" t="s">
        <v>67</v>
      </c>
      <c r="AL2" t="s">
        <v>297</v>
      </c>
      <c r="AN2" t="s">
        <v>68</v>
      </c>
      <c r="AO2" t="s">
        <v>69</v>
      </c>
      <c r="AP2" t="s">
        <v>298</v>
      </c>
      <c r="AR2" t="s">
        <v>70</v>
      </c>
      <c r="AS2" t="s">
        <v>71</v>
      </c>
      <c r="AT2" t="s">
        <v>318</v>
      </c>
      <c r="AU2" t="str">
        <f>UPPER(AT2)</f>
        <v>BEKASI</v>
      </c>
      <c r="AV2" t="s">
        <v>72</v>
      </c>
      <c r="AW2" t="s">
        <v>73</v>
      </c>
      <c r="AY2" t="s">
        <v>327</v>
      </c>
      <c r="AZ2" t="s">
        <v>74</v>
      </c>
      <c r="BA2" t="s">
        <v>75</v>
      </c>
      <c r="BB2" t="s">
        <v>76</v>
      </c>
      <c r="BD2" t="s">
        <v>77</v>
      </c>
    </row>
    <row r="3" spans="1:57" x14ac:dyDescent="0.25">
      <c r="A3" t="s">
        <v>78</v>
      </c>
      <c r="B3" t="s">
        <v>49</v>
      </c>
      <c r="C3" t="s">
        <v>50</v>
      </c>
      <c r="E3" t="s">
        <v>51</v>
      </c>
      <c r="F3" t="s">
        <v>79</v>
      </c>
      <c r="G3" t="s">
        <v>80</v>
      </c>
      <c r="H3" t="s">
        <v>54</v>
      </c>
      <c r="I3" t="s">
        <v>81</v>
      </c>
      <c r="J3" t="s">
        <v>56</v>
      </c>
      <c r="K3" t="s">
        <v>57</v>
      </c>
      <c r="L3" t="s">
        <v>82</v>
      </c>
      <c r="M3" s="4">
        <v>130000</v>
      </c>
      <c r="N3" t="s">
        <v>83</v>
      </c>
      <c r="O3" s="4">
        <v>10000</v>
      </c>
      <c r="Q3">
        <v>1</v>
      </c>
      <c r="X3" t="s">
        <v>84</v>
      </c>
      <c r="Z3" s="1" t="s">
        <v>85</v>
      </c>
      <c r="AA3" t="s">
        <v>86</v>
      </c>
      <c r="AB3" t="s">
        <v>63</v>
      </c>
      <c r="AH3" t="s">
        <v>64</v>
      </c>
      <c r="AI3" t="s">
        <v>65</v>
      </c>
      <c r="AJ3" t="s">
        <v>87</v>
      </c>
      <c r="AK3" t="s">
        <v>67</v>
      </c>
      <c r="AL3" t="s">
        <v>297</v>
      </c>
      <c r="AN3" t="s">
        <v>88</v>
      </c>
      <c r="AO3" t="s">
        <v>89</v>
      </c>
      <c r="AP3" t="s">
        <v>306</v>
      </c>
      <c r="AR3" t="s">
        <v>70</v>
      </c>
      <c r="AS3" t="s">
        <v>90</v>
      </c>
      <c r="AT3" t="s">
        <v>321</v>
      </c>
      <c r="AU3" t="str">
        <f>UPPER(AT3)</f>
        <v>SIDOARJO</v>
      </c>
      <c r="AV3" t="s">
        <v>91</v>
      </c>
      <c r="AW3" t="s">
        <v>92</v>
      </c>
      <c r="AX3" t="s">
        <v>93</v>
      </c>
      <c r="AY3" t="s">
        <v>328</v>
      </c>
      <c r="AZ3" t="s">
        <v>74</v>
      </c>
      <c r="BA3" t="s">
        <v>75</v>
      </c>
      <c r="BB3" t="s">
        <v>94</v>
      </c>
      <c r="BD3" t="s">
        <v>77</v>
      </c>
    </row>
    <row r="4" spans="1:57" x14ac:dyDescent="0.25">
      <c r="A4" t="s">
        <v>95</v>
      </c>
      <c r="B4" t="s">
        <v>49</v>
      </c>
      <c r="C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s="4">
        <v>30000</v>
      </c>
      <c r="N4" t="s">
        <v>59</v>
      </c>
      <c r="R4">
        <v>1</v>
      </c>
      <c r="X4" t="s">
        <v>61</v>
      </c>
      <c r="Z4" s="1" t="s">
        <v>96</v>
      </c>
      <c r="AB4" t="s">
        <v>63</v>
      </c>
      <c r="AH4" t="s">
        <v>64</v>
      </c>
      <c r="AI4" t="s">
        <v>65</v>
      </c>
      <c r="AJ4" t="s">
        <v>97</v>
      </c>
      <c r="AK4" t="s">
        <v>67</v>
      </c>
      <c r="AL4" t="s">
        <v>297</v>
      </c>
      <c r="AN4" t="s">
        <v>98</v>
      </c>
      <c r="AO4" t="s">
        <v>99</v>
      </c>
      <c r="AP4" t="s">
        <v>299</v>
      </c>
      <c r="AR4" t="s">
        <v>70</v>
      </c>
      <c r="AS4" t="s">
        <v>90</v>
      </c>
      <c r="AT4" t="s">
        <v>322</v>
      </c>
      <c r="AU4" t="str">
        <f>UPPER(AT4)</f>
        <v>SITUBONDO</v>
      </c>
      <c r="AV4" t="s">
        <v>100</v>
      </c>
      <c r="AW4" t="s">
        <v>101</v>
      </c>
      <c r="AY4" t="s">
        <v>327</v>
      </c>
      <c r="AZ4" t="s">
        <v>74</v>
      </c>
      <c r="BA4" t="s">
        <v>75</v>
      </c>
      <c r="BB4" t="s">
        <v>102</v>
      </c>
      <c r="BD4" t="s">
        <v>77</v>
      </c>
    </row>
    <row r="5" spans="1:57" x14ac:dyDescent="0.25">
      <c r="A5" t="s">
        <v>103</v>
      </c>
      <c r="B5" t="s">
        <v>49</v>
      </c>
      <c r="C5" t="s">
        <v>50</v>
      </c>
      <c r="E5" t="s">
        <v>51</v>
      </c>
      <c r="F5" t="s">
        <v>79</v>
      </c>
      <c r="G5" t="s">
        <v>80</v>
      </c>
      <c r="H5" t="s">
        <v>54</v>
      </c>
      <c r="I5" t="s">
        <v>81</v>
      </c>
      <c r="J5" t="s">
        <v>56</v>
      </c>
      <c r="K5" t="s">
        <v>57</v>
      </c>
      <c r="L5" t="s">
        <v>82</v>
      </c>
      <c r="M5" s="4">
        <v>130000</v>
      </c>
      <c r="N5" t="s">
        <v>83</v>
      </c>
      <c r="O5" s="4">
        <v>10000</v>
      </c>
      <c r="Q5">
        <v>1</v>
      </c>
      <c r="X5" t="s">
        <v>84</v>
      </c>
      <c r="Z5" s="1" t="s">
        <v>105</v>
      </c>
      <c r="AB5" t="s">
        <v>63</v>
      </c>
      <c r="AH5" t="s">
        <v>64</v>
      </c>
      <c r="AI5" t="s">
        <v>65</v>
      </c>
      <c r="AJ5" t="s">
        <v>106</v>
      </c>
      <c r="AK5" t="s">
        <v>67</v>
      </c>
      <c r="AL5" t="s">
        <v>297</v>
      </c>
      <c r="AN5" t="s">
        <v>107</v>
      </c>
      <c r="AO5" t="s">
        <v>108</v>
      </c>
      <c r="AP5" t="s">
        <v>300</v>
      </c>
      <c r="AR5" t="s">
        <v>70</v>
      </c>
      <c r="AS5" t="s">
        <v>109</v>
      </c>
      <c r="AT5" t="s">
        <v>323</v>
      </c>
      <c r="AU5" t="str">
        <f>UPPER(AT5)</f>
        <v>GIANYAR</v>
      </c>
      <c r="AV5" t="s">
        <v>110</v>
      </c>
      <c r="AW5" t="s">
        <v>111</v>
      </c>
      <c r="AX5" t="s">
        <v>112</v>
      </c>
      <c r="AY5" t="s">
        <v>327</v>
      </c>
      <c r="AZ5" t="s">
        <v>74</v>
      </c>
      <c r="BA5" t="s">
        <v>75</v>
      </c>
      <c r="BB5" t="s">
        <v>113</v>
      </c>
      <c r="BD5" t="s">
        <v>77</v>
      </c>
    </row>
    <row r="6" spans="1:57" x14ac:dyDescent="0.25">
      <c r="A6" t="s">
        <v>114</v>
      </c>
      <c r="B6" t="s">
        <v>49</v>
      </c>
      <c r="C6" t="s">
        <v>50</v>
      </c>
      <c r="E6" t="s">
        <v>51</v>
      </c>
      <c r="F6" t="s">
        <v>115</v>
      </c>
      <c r="G6" t="s">
        <v>116</v>
      </c>
      <c r="H6" t="s">
        <v>117</v>
      </c>
      <c r="I6" t="s">
        <v>118</v>
      </c>
      <c r="J6" t="s">
        <v>56</v>
      </c>
      <c r="K6" t="s">
        <v>57</v>
      </c>
      <c r="L6" t="s">
        <v>119</v>
      </c>
      <c r="M6" s="4">
        <v>115000</v>
      </c>
      <c r="N6" t="s">
        <v>120</v>
      </c>
      <c r="O6" s="4">
        <v>20000</v>
      </c>
      <c r="S6">
        <v>1</v>
      </c>
      <c r="X6" t="s">
        <v>121</v>
      </c>
      <c r="Z6" s="1" t="s">
        <v>122</v>
      </c>
      <c r="AA6" t="s">
        <v>123</v>
      </c>
      <c r="AB6" t="s">
        <v>63</v>
      </c>
      <c r="AH6" t="s">
        <v>64</v>
      </c>
      <c r="AI6" t="s">
        <v>65</v>
      </c>
      <c r="AJ6" t="s">
        <v>124</v>
      </c>
      <c r="AK6" t="s">
        <v>67</v>
      </c>
      <c r="AL6" t="s">
        <v>297</v>
      </c>
      <c r="AN6" t="s">
        <v>125</v>
      </c>
      <c r="AO6" t="s">
        <v>126</v>
      </c>
      <c r="AP6" t="s">
        <v>307</v>
      </c>
      <c r="AR6" t="s">
        <v>70</v>
      </c>
      <c r="AS6" t="s">
        <v>127</v>
      </c>
      <c r="AT6" t="s">
        <v>128</v>
      </c>
      <c r="AU6" t="str">
        <f>UPPER(AT6)</f>
        <v>PURWOREJO</v>
      </c>
      <c r="AV6" t="s">
        <v>129</v>
      </c>
      <c r="AW6" t="s">
        <v>129</v>
      </c>
      <c r="AX6" t="s">
        <v>130</v>
      </c>
      <c r="AY6" t="s">
        <v>328</v>
      </c>
      <c r="AZ6" t="s">
        <v>131</v>
      </c>
      <c r="BA6" t="s">
        <v>132</v>
      </c>
      <c r="BB6" t="s">
        <v>133</v>
      </c>
      <c r="BD6" t="s">
        <v>77</v>
      </c>
    </row>
    <row r="7" spans="1:57" x14ac:dyDescent="0.25">
      <c r="A7" t="s">
        <v>134</v>
      </c>
      <c r="B7" t="s">
        <v>49</v>
      </c>
      <c r="C7" t="s">
        <v>50</v>
      </c>
      <c r="E7" t="s">
        <v>51</v>
      </c>
      <c r="F7" t="s">
        <v>135</v>
      </c>
      <c r="G7" t="s">
        <v>136</v>
      </c>
      <c r="H7" t="s">
        <v>137</v>
      </c>
      <c r="I7" t="s">
        <v>118</v>
      </c>
      <c r="J7" t="s">
        <v>56</v>
      </c>
      <c r="K7" t="s">
        <v>57</v>
      </c>
      <c r="L7" t="s">
        <v>138</v>
      </c>
      <c r="M7" s="4">
        <v>250000</v>
      </c>
      <c r="N7" t="s">
        <v>104</v>
      </c>
      <c r="O7" s="4">
        <v>25000</v>
      </c>
      <c r="P7">
        <v>1</v>
      </c>
      <c r="X7" t="s">
        <v>141</v>
      </c>
      <c r="Z7" s="1" t="s">
        <v>142</v>
      </c>
      <c r="AB7" t="s">
        <v>63</v>
      </c>
      <c r="AH7" t="s">
        <v>64</v>
      </c>
      <c r="AI7" t="s">
        <v>65</v>
      </c>
      <c r="AJ7" t="s">
        <v>143</v>
      </c>
      <c r="AK7" t="s">
        <v>67</v>
      </c>
      <c r="AL7" t="s">
        <v>297</v>
      </c>
      <c r="AN7" t="s">
        <v>144</v>
      </c>
      <c r="AO7" t="s">
        <v>145</v>
      </c>
      <c r="AP7" t="s">
        <v>308</v>
      </c>
      <c r="AR7" t="s">
        <v>70</v>
      </c>
      <c r="AS7" t="s">
        <v>127</v>
      </c>
      <c r="AT7" t="s">
        <v>146</v>
      </c>
      <c r="AU7" t="str">
        <f>UPPER(AT7)</f>
        <v>KARANGANYAR</v>
      </c>
      <c r="AV7" t="s">
        <v>147</v>
      </c>
      <c r="AW7" t="s">
        <v>148</v>
      </c>
      <c r="AY7" t="s">
        <v>327</v>
      </c>
      <c r="AZ7" t="s">
        <v>149</v>
      </c>
      <c r="BA7" t="s">
        <v>75</v>
      </c>
      <c r="BB7" t="s">
        <v>150</v>
      </c>
      <c r="BD7" t="s">
        <v>77</v>
      </c>
    </row>
    <row r="8" spans="1:57" x14ac:dyDescent="0.25">
      <c r="A8" t="s">
        <v>151</v>
      </c>
      <c r="B8" t="s">
        <v>49</v>
      </c>
      <c r="C8" t="s">
        <v>50</v>
      </c>
      <c r="E8" t="s">
        <v>51</v>
      </c>
      <c r="F8" t="s">
        <v>135</v>
      </c>
      <c r="G8" t="s">
        <v>136</v>
      </c>
      <c r="H8" t="s">
        <v>137</v>
      </c>
      <c r="I8" t="s">
        <v>118</v>
      </c>
      <c r="J8" t="s">
        <v>56</v>
      </c>
      <c r="K8" t="s">
        <v>57</v>
      </c>
      <c r="L8" t="s">
        <v>138</v>
      </c>
      <c r="M8" s="4">
        <v>250000</v>
      </c>
      <c r="N8" t="s">
        <v>104</v>
      </c>
      <c r="O8" s="4">
        <v>25000</v>
      </c>
      <c r="P8">
        <v>1</v>
      </c>
      <c r="X8" t="s">
        <v>140</v>
      </c>
      <c r="Z8" s="1" t="s">
        <v>152</v>
      </c>
      <c r="AB8" t="s">
        <v>63</v>
      </c>
      <c r="AH8" t="s">
        <v>64</v>
      </c>
      <c r="AI8" t="s">
        <v>65</v>
      </c>
      <c r="AJ8" t="s">
        <v>153</v>
      </c>
      <c r="AK8" t="s">
        <v>67</v>
      </c>
      <c r="AL8" t="s">
        <v>297</v>
      </c>
      <c r="AN8" t="s">
        <v>154</v>
      </c>
      <c r="AO8" t="s">
        <v>155</v>
      </c>
      <c r="AP8" t="s">
        <v>309</v>
      </c>
      <c r="AR8" t="s">
        <v>70</v>
      </c>
      <c r="AS8" t="s">
        <v>127</v>
      </c>
      <c r="AT8" t="s">
        <v>319</v>
      </c>
      <c r="AU8" t="str">
        <f>UPPER(AT8)</f>
        <v xml:space="preserve"> CILACAP</v>
      </c>
      <c r="AV8" t="s">
        <v>156</v>
      </c>
      <c r="AW8" t="s">
        <v>157</v>
      </c>
      <c r="AY8" t="s">
        <v>327</v>
      </c>
      <c r="AZ8" t="s">
        <v>149</v>
      </c>
      <c r="BA8" t="s">
        <v>75</v>
      </c>
      <c r="BB8" t="s">
        <v>158</v>
      </c>
      <c r="BD8" t="s">
        <v>77</v>
      </c>
    </row>
    <row r="9" spans="1:57" x14ac:dyDescent="0.25">
      <c r="A9" t="s">
        <v>159</v>
      </c>
      <c r="B9" t="s">
        <v>49</v>
      </c>
      <c r="C9" t="s">
        <v>50</v>
      </c>
      <c r="E9" t="s">
        <v>51</v>
      </c>
      <c r="F9" t="s">
        <v>160</v>
      </c>
      <c r="G9" t="s">
        <v>161</v>
      </c>
      <c r="H9" t="s">
        <v>162</v>
      </c>
      <c r="I9" t="s">
        <v>118</v>
      </c>
      <c r="J9" t="s">
        <v>56</v>
      </c>
      <c r="K9" t="s">
        <v>57</v>
      </c>
      <c r="L9" t="s">
        <v>163</v>
      </c>
      <c r="M9" s="4">
        <v>330000</v>
      </c>
      <c r="N9" t="s">
        <v>58</v>
      </c>
      <c r="Q9">
        <v>1</v>
      </c>
      <c r="S9">
        <v>1</v>
      </c>
      <c r="T9">
        <v>1</v>
      </c>
      <c r="X9" t="s">
        <v>164</v>
      </c>
      <c r="Z9" s="1" t="s">
        <v>165</v>
      </c>
      <c r="AB9" t="s">
        <v>63</v>
      </c>
      <c r="AH9" t="s">
        <v>64</v>
      </c>
      <c r="AI9" t="s">
        <v>65</v>
      </c>
      <c r="AJ9" t="s">
        <v>166</v>
      </c>
      <c r="AK9" t="s">
        <v>67</v>
      </c>
      <c r="AL9" t="s">
        <v>297</v>
      </c>
      <c r="AN9" t="s">
        <v>167</v>
      </c>
      <c r="AO9" t="s">
        <v>168</v>
      </c>
      <c r="AP9" t="s">
        <v>310</v>
      </c>
      <c r="AR9" t="s">
        <v>70</v>
      </c>
      <c r="AS9" t="s">
        <v>127</v>
      </c>
      <c r="AT9" t="s">
        <v>169</v>
      </c>
      <c r="AU9" t="str">
        <f>UPPER(AT9)</f>
        <v>JEPARA</v>
      </c>
      <c r="AV9" t="s">
        <v>170</v>
      </c>
      <c r="AW9" t="s">
        <v>171</v>
      </c>
      <c r="AX9" t="s">
        <v>172</v>
      </c>
      <c r="AY9" t="s">
        <v>327</v>
      </c>
      <c r="AZ9" t="s">
        <v>131</v>
      </c>
      <c r="BA9" t="s">
        <v>173</v>
      </c>
      <c r="BB9" t="s">
        <v>174</v>
      </c>
      <c r="BD9" t="s">
        <v>77</v>
      </c>
    </row>
    <row r="10" spans="1:57" x14ac:dyDescent="0.25">
      <c r="A10" t="s">
        <v>175</v>
      </c>
      <c r="B10" t="s">
        <v>49</v>
      </c>
      <c r="C10" t="s">
        <v>50</v>
      </c>
      <c r="E10" t="s">
        <v>51</v>
      </c>
      <c r="F10" t="s">
        <v>176</v>
      </c>
      <c r="G10" t="s">
        <v>177</v>
      </c>
      <c r="H10" t="s">
        <v>178</v>
      </c>
      <c r="I10" t="s">
        <v>118</v>
      </c>
      <c r="J10" t="s">
        <v>56</v>
      </c>
      <c r="K10" t="s">
        <v>57</v>
      </c>
      <c r="L10" t="s">
        <v>179</v>
      </c>
      <c r="M10" s="4">
        <v>500000</v>
      </c>
      <c r="N10" t="s">
        <v>58</v>
      </c>
      <c r="O10" s="4">
        <v>51000</v>
      </c>
      <c r="P10">
        <v>2</v>
      </c>
      <c r="X10" t="s">
        <v>180</v>
      </c>
      <c r="Z10" s="1" t="s">
        <v>181</v>
      </c>
      <c r="AA10" t="s">
        <v>182</v>
      </c>
      <c r="AB10" t="s">
        <v>63</v>
      </c>
      <c r="AH10" t="s">
        <v>64</v>
      </c>
      <c r="AI10" t="s">
        <v>65</v>
      </c>
      <c r="AJ10" t="s">
        <v>183</v>
      </c>
      <c r="AK10" t="s">
        <v>67</v>
      </c>
      <c r="AL10" t="s">
        <v>297</v>
      </c>
      <c r="AN10" t="s">
        <v>184</v>
      </c>
      <c r="AO10" t="s">
        <v>185</v>
      </c>
      <c r="AP10" t="s">
        <v>311</v>
      </c>
      <c r="AR10" t="s">
        <v>70</v>
      </c>
      <c r="AS10" t="s">
        <v>186</v>
      </c>
      <c r="AT10" t="s">
        <v>187</v>
      </c>
      <c r="AU10" t="str">
        <f>UPPER(AT10)</f>
        <v>BANTUL</v>
      </c>
      <c r="AV10" t="s">
        <v>188</v>
      </c>
      <c r="AW10" t="s">
        <v>189</v>
      </c>
      <c r="AX10" t="s">
        <v>190</v>
      </c>
      <c r="AY10" t="s">
        <v>328</v>
      </c>
      <c r="AZ10" t="s">
        <v>131</v>
      </c>
      <c r="BA10" t="s">
        <v>75</v>
      </c>
      <c r="BB10" t="s">
        <v>191</v>
      </c>
      <c r="BD10" t="s">
        <v>77</v>
      </c>
    </row>
    <row r="11" spans="1:57" x14ac:dyDescent="0.25">
      <c r="A11" t="s">
        <v>192</v>
      </c>
      <c r="B11" t="s">
        <v>49</v>
      </c>
      <c r="C11" t="s">
        <v>50</v>
      </c>
      <c r="E11" t="s">
        <v>51</v>
      </c>
      <c r="F11" t="s">
        <v>79</v>
      </c>
      <c r="G11" t="s">
        <v>80</v>
      </c>
      <c r="H11" t="s">
        <v>54</v>
      </c>
      <c r="I11" t="s">
        <v>81</v>
      </c>
      <c r="J11" t="s">
        <v>56</v>
      </c>
      <c r="K11" t="s">
        <v>57</v>
      </c>
      <c r="L11" t="s">
        <v>82</v>
      </c>
      <c r="M11" s="4">
        <v>130000</v>
      </c>
      <c r="N11" t="s">
        <v>83</v>
      </c>
      <c r="O11" s="4">
        <v>10000</v>
      </c>
      <c r="Q11">
        <v>1</v>
      </c>
      <c r="X11" t="s">
        <v>84</v>
      </c>
      <c r="Z11" s="1" t="s">
        <v>193</v>
      </c>
      <c r="AB11" t="s">
        <v>63</v>
      </c>
      <c r="AH11" t="s">
        <v>64</v>
      </c>
      <c r="AI11" t="s">
        <v>65</v>
      </c>
      <c r="AJ11" t="s">
        <v>194</v>
      </c>
      <c r="AK11" t="s">
        <v>67</v>
      </c>
      <c r="AL11" t="s">
        <v>297</v>
      </c>
      <c r="AN11" t="s">
        <v>195</v>
      </c>
      <c r="AO11" t="s">
        <v>196</v>
      </c>
      <c r="AP11" t="s">
        <v>301</v>
      </c>
      <c r="AR11" t="s">
        <v>70</v>
      </c>
      <c r="AS11" t="s">
        <v>127</v>
      </c>
      <c r="AT11" t="s">
        <v>324</v>
      </c>
      <c r="AU11" t="str">
        <f>UPPER(AT11)</f>
        <v>PEMALANG</v>
      </c>
      <c r="AV11" t="s">
        <v>197</v>
      </c>
      <c r="AW11" t="s">
        <v>198</v>
      </c>
      <c r="AY11" t="s">
        <v>327</v>
      </c>
      <c r="AZ11" t="s">
        <v>74</v>
      </c>
      <c r="BA11" t="s">
        <v>75</v>
      </c>
      <c r="BB11" t="s">
        <v>199</v>
      </c>
      <c r="BD11" t="s">
        <v>77</v>
      </c>
    </row>
    <row r="12" spans="1:57" x14ac:dyDescent="0.25">
      <c r="A12" t="s">
        <v>200</v>
      </c>
      <c r="B12" t="s">
        <v>49</v>
      </c>
      <c r="C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s="4">
        <v>30000</v>
      </c>
      <c r="N12" t="s">
        <v>59</v>
      </c>
      <c r="R12">
        <v>1</v>
      </c>
      <c r="X12" t="s">
        <v>61</v>
      </c>
      <c r="Z12" s="1" t="s">
        <v>201</v>
      </c>
      <c r="AB12" t="s">
        <v>63</v>
      </c>
      <c r="AH12" t="s">
        <v>64</v>
      </c>
      <c r="AI12" t="s">
        <v>65</v>
      </c>
      <c r="AJ12" t="s">
        <v>202</v>
      </c>
      <c r="AK12" t="s">
        <v>67</v>
      </c>
      <c r="AL12" t="s">
        <v>297</v>
      </c>
      <c r="AN12" t="s">
        <v>203</v>
      </c>
      <c r="AO12" t="s">
        <v>204</v>
      </c>
      <c r="AP12" t="s">
        <v>312</v>
      </c>
      <c r="AR12" t="s">
        <v>70</v>
      </c>
      <c r="AS12" t="s">
        <v>90</v>
      </c>
      <c r="AT12" t="s">
        <v>320</v>
      </c>
      <c r="AU12" t="str">
        <f>UPPER(AT12)</f>
        <v xml:space="preserve"> SIDOARJO</v>
      </c>
      <c r="AV12" t="s">
        <v>205</v>
      </c>
      <c r="AW12" t="s">
        <v>206</v>
      </c>
      <c r="AY12" t="s">
        <v>327</v>
      </c>
      <c r="AZ12" t="s">
        <v>74</v>
      </c>
      <c r="BA12" t="s">
        <v>75</v>
      </c>
      <c r="BB12" t="s">
        <v>207</v>
      </c>
      <c r="BD12" t="s">
        <v>77</v>
      </c>
    </row>
    <row r="13" spans="1:57" x14ac:dyDescent="0.25">
      <c r="A13" t="s">
        <v>208</v>
      </c>
      <c r="B13" t="s">
        <v>49</v>
      </c>
      <c r="C13" t="s">
        <v>50</v>
      </c>
      <c r="E13" t="s">
        <v>51</v>
      </c>
      <c r="F13" t="s">
        <v>135</v>
      </c>
      <c r="G13" t="s">
        <v>136</v>
      </c>
      <c r="H13" t="s">
        <v>137</v>
      </c>
      <c r="I13" t="s">
        <v>118</v>
      </c>
      <c r="J13" t="s">
        <v>56</v>
      </c>
      <c r="K13" t="s">
        <v>57</v>
      </c>
      <c r="L13" t="s">
        <v>138</v>
      </c>
      <c r="M13" s="4">
        <v>250000</v>
      </c>
      <c r="N13" t="s">
        <v>104</v>
      </c>
      <c r="O13" s="4">
        <v>25000</v>
      </c>
      <c r="P13">
        <v>1</v>
      </c>
      <c r="X13" t="s">
        <v>141</v>
      </c>
      <c r="Z13" s="1" t="s">
        <v>209</v>
      </c>
      <c r="AB13" t="s">
        <v>63</v>
      </c>
      <c r="AH13" t="s">
        <v>64</v>
      </c>
      <c r="AI13" t="s">
        <v>65</v>
      </c>
      <c r="AJ13" t="s">
        <v>210</v>
      </c>
      <c r="AK13" t="s">
        <v>67</v>
      </c>
      <c r="AL13" t="s">
        <v>297</v>
      </c>
      <c r="AN13" t="s">
        <v>211</v>
      </c>
      <c r="AO13" t="s">
        <v>212</v>
      </c>
      <c r="AP13" t="s">
        <v>313</v>
      </c>
      <c r="AR13" t="s">
        <v>70</v>
      </c>
      <c r="AS13" t="s">
        <v>186</v>
      </c>
      <c r="AT13" t="s">
        <v>213</v>
      </c>
      <c r="AU13" t="str">
        <f>UPPER(AT13)</f>
        <v>SLEMAN</v>
      </c>
      <c r="AV13" t="s">
        <v>214</v>
      </c>
      <c r="AW13" t="s">
        <v>215</v>
      </c>
      <c r="AY13" t="s">
        <v>327</v>
      </c>
      <c r="AZ13" t="s">
        <v>149</v>
      </c>
      <c r="BA13" t="s">
        <v>75</v>
      </c>
      <c r="BB13" t="s">
        <v>216</v>
      </c>
      <c r="BD13" t="s">
        <v>77</v>
      </c>
    </row>
    <row r="14" spans="1:57" x14ac:dyDescent="0.25">
      <c r="A14" t="s">
        <v>217</v>
      </c>
      <c r="B14" t="s">
        <v>49</v>
      </c>
      <c r="C14" t="s">
        <v>50</v>
      </c>
      <c r="E14" t="s">
        <v>51</v>
      </c>
      <c r="F14" t="s">
        <v>115</v>
      </c>
      <c r="G14" t="s">
        <v>116</v>
      </c>
      <c r="H14" t="s">
        <v>117</v>
      </c>
      <c r="I14" t="s">
        <v>118</v>
      </c>
      <c r="J14" t="s">
        <v>56</v>
      </c>
      <c r="K14" t="s">
        <v>57</v>
      </c>
      <c r="L14" t="s">
        <v>119</v>
      </c>
      <c r="M14" s="4">
        <v>115000</v>
      </c>
      <c r="N14" t="s">
        <v>120</v>
      </c>
      <c r="O14" s="4">
        <v>20000</v>
      </c>
      <c r="S14">
        <v>1</v>
      </c>
      <c r="X14" t="s">
        <v>218</v>
      </c>
      <c r="Z14" s="1" t="s">
        <v>219</v>
      </c>
      <c r="AB14" t="s">
        <v>63</v>
      </c>
      <c r="AH14" t="s">
        <v>64</v>
      </c>
      <c r="AI14" t="s">
        <v>65</v>
      </c>
      <c r="AJ14" t="s">
        <v>220</v>
      </c>
      <c r="AK14" t="s">
        <v>67</v>
      </c>
      <c r="AL14" t="s">
        <v>297</v>
      </c>
      <c r="AN14" t="s">
        <v>221</v>
      </c>
      <c r="AO14" t="s">
        <v>222</v>
      </c>
      <c r="AP14" t="s">
        <v>314</v>
      </c>
      <c r="AR14" t="s">
        <v>70</v>
      </c>
      <c r="AS14" t="s">
        <v>223</v>
      </c>
      <c r="AT14" t="s">
        <v>224</v>
      </c>
      <c r="AU14" t="str">
        <f>UPPER(AT14)</f>
        <v>PALU</v>
      </c>
      <c r="AV14" t="s">
        <v>225</v>
      </c>
      <c r="AW14" t="s">
        <v>226</v>
      </c>
      <c r="AX14" t="s">
        <v>227</v>
      </c>
      <c r="AY14" t="s">
        <v>327</v>
      </c>
      <c r="AZ14" t="s">
        <v>131</v>
      </c>
      <c r="BA14" t="s">
        <v>132</v>
      </c>
      <c r="BB14" t="s">
        <v>228</v>
      </c>
      <c r="BD14" t="s">
        <v>77</v>
      </c>
    </row>
    <row r="15" spans="1:57" x14ac:dyDescent="0.25">
      <c r="A15" t="s">
        <v>229</v>
      </c>
      <c r="B15" t="s">
        <v>49</v>
      </c>
      <c r="C15" t="s">
        <v>50</v>
      </c>
      <c r="E15" t="s">
        <v>51</v>
      </c>
      <c r="F15" t="s">
        <v>79</v>
      </c>
      <c r="G15" t="s">
        <v>80</v>
      </c>
      <c r="H15" t="s">
        <v>54</v>
      </c>
      <c r="I15" t="s">
        <v>81</v>
      </c>
      <c r="J15" t="s">
        <v>56</v>
      </c>
      <c r="K15" t="s">
        <v>57</v>
      </c>
      <c r="L15" t="s">
        <v>82</v>
      </c>
      <c r="M15" s="4">
        <v>130000</v>
      </c>
      <c r="N15" t="s">
        <v>83</v>
      </c>
      <c r="O15" s="4">
        <v>10000</v>
      </c>
      <c r="Q15">
        <v>1</v>
      </c>
      <c r="X15" t="s">
        <v>84</v>
      </c>
      <c r="Z15" s="1" t="s">
        <v>230</v>
      </c>
      <c r="AB15" t="s">
        <v>63</v>
      </c>
      <c r="AH15" t="s">
        <v>64</v>
      </c>
      <c r="AI15" t="s">
        <v>65</v>
      </c>
      <c r="AJ15" t="s">
        <v>231</v>
      </c>
      <c r="AK15" t="s">
        <v>67</v>
      </c>
      <c r="AL15" t="s">
        <v>297</v>
      </c>
      <c r="AN15" t="s">
        <v>232</v>
      </c>
      <c r="AO15" t="s">
        <v>204</v>
      </c>
      <c r="AP15" t="s">
        <v>315</v>
      </c>
      <c r="AR15" t="s">
        <v>70</v>
      </c>
      <c r="AS15" t="s">
        <v>127</v>
      </c>
      <c r="AT15" t="s">
        <v>233</v>
      </c>
      <c r="AU15" t="str">
        <f>UPPER(AT15)</f>
        <v>BATANG</v>
      </c>
      <c r="AV15" t="s">
        <v>234</v>
      </c>
      <c r="AW15" t="s">
        <v>235</v>
      </c>
      <c r="AX15" t="s">
        <v>235</v>
      </c>
      <c r="AY15" t="s">
        <v>327</v>
      </c>
      <c r="AZ15" t="s">
        <v>74</v>
      </c>
      <c r="BA15" t="s">
        <v>75</v>
      </c>
      <c r="BB15" t="s">
        <v>236</v>
      </c>
      <c r="BD15" t="s">
        <v>77</v>
      </c>
    </row>
    <row r="16" spans="1:57" x14ac:dyDescent="0.25">
      <c r="A16" t="s">
        <v>237</v>
      </c>
      <c r="B16" t="s">
        <v>49</v>
      </c>
      <c r="C16" t="s">
        <v>50</v>
      </c>
      <c r="E16" t="s">
        <v>51</v>
      </c>
      <c r="F16" t="s">
        <v>135</v>
      </c>
      <c r="G16" t="s">
        <v>136</v>
      </c>
      <c r="H16" t="s">
        <v>137</v>
      </c>
      <c r="I16" t="s">
        <v>118</v>
      </c>
      <c r="J16" t="s">
        <v>56</v>
      </c>
      <c r="K16" t="s">
        <v>57</v>
      </c>
      <c r="L16" t="s">
        <v>138</v>
      </c>
      <c r="M16" s="4">
        <v>250000</v>
      </c>
      <c r="N16" t="s">
        <v>104</v>
      </c>
      <c r="O16" s="4">
        <v>25000</v>
      </c>
      <c r="P16">
        <v>1</v>
      </c>
      <c r="X16" t="s">
        <v>140</v>
      </c>
      <c r="Z16" s="1" t="s">
        <v>238</v>
      </c>
      <c r="AB16" t="s">
        <v>63</v>
      </c>
      <c r="AH16" t="s">
        <v>64</v>
      </c>
      <c r="AI16" t="s">
        <v>65</v>
      </c>
      <c r="AJ16" t="s">
        <v>239</v>
      </c>
      <c r="AK16" t="s">
        <v>67</v>
      </c>
      <c r="AL16" t="s">
        <v>297</v>
      </c>
      <c r="AN16" t="s">
        <v>154</v>
      </c>
      <c r="AO16" t="s">
        <v>155</v>
      </c>
      <c r="AP16" t="s">
        <v>309</v>
      </c>
      <c r="AR16" t="s">
        <v>70</v>
      </c>
      <c r="AS16" t="s">
        <v>127</v>
      </c>
      <c r="AT16" t="s">
        <v>319</v>
      </c>
      <c r="AU16" t="str">
        <f>UPPER(AT16)</f>
        <v xml:space="preserve"> CILACAP</v>
      </c>
      <c r="AV16" t="s">
        <v>156</v>
      </c>
      <c r="AW16" t="s">
        <v>157</v>
      </c>
      <c r="AY16" t="s">
        <v>327</v>
      </c>
      <c r="AZ16" t="s">
        <v>149</v>
      </c>
      <c r="BA16" t="s">
        <v>75</v>
      </c>
      <c r="BB16" t="s">
        <v>240</v>
      </c>
      <c r="BD16" t="s">
        <v>77</v>
      </c>
    </row>
    <row r="17" spans="1:56" x14ac:dyDescent="0.25">
      <c r="A17" t="s">
        <v>241</v>
      </c>
      <c r="B17" t="s">
        <v>49</v>
      </c>
      <c r="C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s="4">
        <v>30000</v>
      </c>
      <c r="N17" t="s">
        <v>59</v>
      </c>
      <c r="R17">
        <v>1</v>
      </c>
      <c r="X17" t="s">
        <v>61</v>
      </c>
      <c r="Z17" s="1" t="s">
        <v>242</v>
      </c>
      <c r="AA17" t="s">
        <v>243</v>
      </c>
      <c r="AB17" t="s">
        <v>63</v>
      </c>
      <c r="AH17" t="s">
        <v>64</v>
      </c>
      <c r="AI17" t="s">
        <v>65</v>
      </c>
      <c r="AJ17" t="s">
        <v>244</v>
      </c>
      <c r="AK17" t="s">
        <v>67</v>
      </c>
      <c r="AL17" t="s">
        <v>297</v>
      </c>
      <c r="AN17" t="s">
        <v>245</v>
      </c>
      <c r="AO17" t="s">
        <v>246</v>
      </c>
      <c r="AP17" t="s">
        <v>316</v>
      </c>
      <c r="AR17" t="s">
        <v>70</v>
      </c>
      <c r="AS17" t="s">
        <v>90</v>
      </c>
      <c r="AT17" t="s">
        <v>325</v>
      </c>
      <c r="AU17" t="str">
        <f>UPPER(AT17)</f>
        <v>LAMONGAN</v>
      </c>
      <c r="AV17" t="s">
        <v>247</v>
      </c>
      <c r="AW17" t="s">
        <v>248</v>
      </c>
      <c r="AY17" t="s">
        <v>328</v>
      </c>
      <c r="AZ17" t="s">
        <v>74</v>
      </c>
      <c r="BA17" t="s">
        <v>75</v>
      </c>
      <c r="BB17" t="s">
        <v>249</v>
      </c>
      <c r="BD17" t="s">
        <v>77</v>
      </c>
    </row>
    <row r="18" spans="1:56" x14ac:dyDescent="0.25">
      <c r="A18" t="s">
        <v>250</v>
      </c>
      <c r="B18" t="s">
        <v>49</v>
      </c>
      <c r="C18" t="s">
        <v>50</v>
      </c>
      <c r="E18" t="s">
        <v>51</v>
      </c>
      <c r="F18" t="s">
        <v>79</v>
      </c>
      <c r="G18" t="s">
        <v>80</v>
      </c>
      <c r="H18" t="s">
        <v>54</v>
      </c>
      <c r="I18" t="s">
        <v>81</v>
      </c>
      <c r="J18" t="s">
        <v>56</v>
      </c>
      <c r="K18" t="s">
        <v>57</v>
      </c>
      <c r="L18" t="s">
        <v>82</v>
      </c>
      <c r="M18" s="4">
        <v>130000</v>
      </c>
      <c r="N18" t="s">
        <v>83</v>
      </c>
      <c r="O18" s="4">
        <v>10000</v>
      </c>
      <c r="Q18">
        <v>1</v>
      </c>
      <c r="X18" t="s">
        <v>84</v>
      </c>
      <c r="Z18" s="1" t="s">
        <v>251</v>
      </c>
      <c r="AB18" t="s">
        <v>63</v>
      </c>
      <c r="AH18" t="s">
        <v>64</v>
      </c>
      <c r="AI18" t="s">
        <v>65</v>
      </c>
      <c r="AJ18" t="s">
        <v>252</v>
      </c>
      <c r="AK18" t="s">
        <v>67</v>
      </c>
      <c r="AL18" t="s">
        <v>297</v>
      </c>
      <c r="AN18" t="s">
        <v>253</v>
      </c>
      <c r="AO18" t="s">
        <v>254</v>
      </c>
      <c r="AP18" t="s">
        <v>302</v>
      </c>
      <c r="AR18" t="s">
        <v>70</v>
      </c>
      <c r="AS18" t="s">
        <v>90</v>
      </c>
      <c r="AT18" t="s">
        <v>255</v>
      </c>
      <c r="AU18" t="str">
        <f>UPPER(AT18)</f>
        <v>LUMAJANG</v>
      </c>
      <c r="AV18" t="s">
        <v>256</v>
      </c>
      <c r="AW18" t="s">
        <v>257</v>
      </c>
      <c r="AY18" t="s">
        <v>327</v>
      </c>
      <c r="AZ18" t="s">
        <v>74</v>
      </c>
      <c r="BA18" t="s">
        <v>75</v>
      </c>
      <c r="BB18" t="s">
        <v>258</v>
      </c>
      <c r="BD18" t="s">
        <v>77</v>
      </c>
    </row>
    <row r="19" spans="1:56" x14ac:dyDescent="0.25">
      <c r="A19" t="s">
        <v>259</v>
      </c>
      <c r="B19" t="s">
        <v>49</v>
      </c>
      <c r="C19" t="s">
        <v>50</v>
      </c>
      <c r="E19" t="s">
        <v>51</v>
      </c>
      <c r="F19" t="s">
        <v>260</v>
      </c>
      <c r="G19" t="s">
        <v>136</v>
      </c>
      <c r="H19" t="s">
        <v>261</v>
      </c>
      <c r="I19" t="s">
        <v>262</v>
      </c>
      <c r="J19" t="s">
        <v>56</v>
      </c>
      <c r="K19" t="s">
        <v>57</v>
      </c>
      <c r="L19" t="s">
        <v>138</v>
      </c>
      <c r="M19" s="4">
        <v>250000</v>
      </c>
      <c r="N19" t="s">
        <v>139</v>
      </c>
      <c r="P19">
        <v>1</v>
      </c>
      <c r="X19" t="s">
        <v>263</v>
      </c>
      <c r="Z19" s="1" t="s">
        <v>264</v>
      </c>
      <c r="AB19" t="s">
        <v>63</v>
      </c>
      <c r="AH19" t="s">
        <v>64</v>
      </c>
      <c r="AI19" t="s">
        <v>65</v>
      </c>
      <c r="AJ19" t="s">
        <v>265</v>
      </c>
      <c r="AK19" t="s">
        <v>67</v>
      </c>
      <c r="AL19" t="s">
        <v>297</v>
      </c>
      <c r="AN19" t="s">
        <v>266</v>
      </c>
      <c r="AO19" t="s">
        <v>267</v>
      </c>
      <c r="AP19" t="s">
        <v>303</v>
      </c>
      <c r="AR19" t="s">
        <v>70</v>
      </c>
      <c r="AS19" t="s">
        <v>268</v>
      </c>
      <c r="AT19" t="s">
        <v>269</v>
      </c>
      <c r="AU19" t="str">
        <f>UPPER(AT19)</f>
        <v>JAKARTA UTARA</v>
      </c>
      <c r="AV19" t="s">
        <v>270</v>
      </c>
      <c r="AW19" t="s">
        <v>271</v>
      </c>
      <c r="AX19" t="s">
        <v>272</v>
      </c>
      <c r="AY19" t="s">
        <v>327</v>
      </c>
      <c r="AZ19" t="s">
        <v>273</v>
      </c>
      <c r="BA19" t="s">
        <v>274</v>
      </c>
      <c r="BB19" t="s">
        <v>275</v>
      </c>
      <c r="BD19" t="s">
        <v>77</v>
      </c>
    </row>
  </sheetData>
  <autoFilter ref="A1:BE21" xr:uid="{835645FE-B5BB-450E-A6B6-3BE01A0CA83A}"/>
  <conditionalFormatting sqref="AJ1:AJ19 AJ22:AJ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8BB0-1A62-4716-82A9-F89C6458E306}">
  <dimension ref="A1:BE3"/>
  <sheetViews>
    <sheetView tabSelected="1" topLeftCell="T1" workbookViewId="0">
      <selection activeCell="AP2" sqref="AP2:AP3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329</v>
      </c>
      <c r="Q1" s="1" t="s">
        <v>330</v>
      </c>
      <c r="R1" t="s">
        <v>331</v>
      </c>
      <c r="S1" s="1" t="s">
        <v>332</v>
      </c>
      <c r="T1" t="s">
        <v>333</v>
      </c>
      <c r="X1" t="s">
        <v>15</v>
      </c>
      <c r="Y1" t="s">
        <v>16</v>
      </c>
      <c r="Z1" s="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317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</row>
    <row r="2" spans="1:57" s="2" customFormat="1" x14ac:dyDescent="0.25">
      <c r="A2" s="2" t="s">
        <v>276</v>
      </c>
      <c r="B2" s="2" t="s">
        <v>49</v>
      </c>
      <c r="C2" s="2" t="s">
        <v>50</v>
      </c>
      <c r="E2" s="2" t="s">
        <v>51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56</v>
      </c>
      <c r="K2" s="2" t="s">
        <v>57</v>
      </c>
      <c r="L2" s="2" t="s">
        <v>119</v>
      </c>
      <c r="M2" s="5">
        <v>200000</v>
      </c>
      <c r="N2" s="2" t="s">
        <v>60</v>
      </c>
      <c r="O2" s="5">
        <v>30000</v>
      </c>
      <c r="S2" s="2">
        <v>1</v>
      </c>
      <c r="T2" s="2">
        <v>1</v>
      </c>
      <c r="X2" s="2" t="s">
        <v>277</v>
      </c>
      <c r="Z2" s="3" t="s">
        <v>278</v>
      </c>
      <c r="AB2" s="2" t="s">
        <v>63</v>
      </c>
      <c r="AH2" s="2" t="s">
        <v>64</v>
      </c>
      <c r="AI2" s="2" t="s">
        <v>65</v>
      </c>
      <c r="AJ2" s="2" t="s">
        <v>279</v>
      </c>
      <c r="AK2" s="2" t="s">
        <v>67</v>
      </c>
      <c r="AL2" t="s">
        <v>297</v>
      </c>
      <c r="AN2" s="2" t="s">
        <v>280</v>
      </c>
      <c r="AO2" s="2" t="s">
        <v>281</v>
      </c>
      <c r="AP2" s="2" t="s">
        <v>304</v>
      </c>
      <c r="AR2" s="2" t="s">
        <v>70</v>
      </c>
      <c r="AS2" s="2" t="s">
        <v>282</v>
      </c>
      <c r="AT2" s="2" t="s">
        <v>326</v>
      </c>
      <c r="AU2" t="str">
        <f>UPPER(AT2)</f>
        <v>MUARA ENIM</v>
      </c>
      <c r="AV2" s="2" t="s">
        <v>283</v>
      </c>
      <c r="AW2" s="2" t="s">
        <v>284</v>
      </c>
      <c r="AX2" s="2" t="s">
        <v>285</v>
      </c>
      <c r="AY2" t="s">
        <v>327</v>
      </c>
      <c r="AZ2" s="2" t="s">
        <v>131</v>
      </c>
      <c r="BA2" s="2" t="s">
        <v>132</v>
      </c>
      <c r="BB2" s="2" t="s">
        <v>286</v>
      </c>
      <c r="BD2" s="2" t="s">
        <v>77</v>
      </c>
    </row>
    <row r="3" spans="1:57" x14ac:dyDescent="0.25">
      <c r="A3" t="s">
        <v>287</v>
      </c>
      <c r="B3" t="s">
        <v>49</v>
      </c>
      <c r="C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s="4">
        <v>30000</v>
      </c>
      <c r="N3" t="s">
        <v>60</v>
      </c>
      <c r="O3" s="1"/>
      <c r="R3">
        <v>1</v>
      </c>
      <c r="X3" t="s">
        <v>288</v>
      </c>
      <c r="Z3" s="1" t="s">
        <v>289</v>
      </c>
      <c r="AB3" t="s">
        <v>63</v>
      </c>
      <c r="AH3" t="s">
        <v>64</v>
      </c>
      <c r="AI3" t="s">
        <v>65</v>
      </c>
      <c r="AJ3" t="s">
        <v>290</v>
      </c>
      <c r="AK3" t="s">
        <v>67</v>
      </c>
      <c r="AL3" t="s">
        <v>297</v>
      </c>
      <c r="AN3" t="s">
        <v>291</v>
      </c>
      <c r="AO3" t="s">
        <v>292</v>
      </c>
      <c r="AP3" t="s">
        <v>305</v>
      </c>
      <c r="AR3" t="s">
        <v>70</v>
      </c>
      <c r="AS3" t="s">
        <v>127</v>
      </c>
      <c r="AT3" t="s">
        <v>324</v>
      </c>
      <c r="AU3" t="str">
        <f>UPPER(AT3)</f>
        <v>PEMALANG</v>
      </c>
      <c r="AV3" t="s">
        <v>293</v>
      </c>
      <c r="AW3" t="s">
        <v>294</v>
      </c>
      <c r="AX3" t="s">
        <v>295</v>
      </c>
      <c r="AY3" t="s">
        <v>327</v>
      </c>
      <c r="AZ3" t="s">
        <v>74</v>
      </c>
      <c r="BA3" t="s">
        <v>75</v>
      </c>
      <c r="BB3" t="s">
        <v>296</v>
      </c>
      <c r="BD3" t="s">
        <v>77</v>
      </c>
    </row>
  </sheetData>
  <conditionalFormatting sqref="AJ1">
    <cfRule type="duplicateValues" dxfId="1" priority="2"/>
  </conditionalFormatting>
  <conditionalFormatting sqref="AJ2:AJ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</vt:lpstr>
      <vt:lpstr>OKT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2024-10-01T02:51:13Z</dcterms:modified>
</cp:coreProperties>
</file>