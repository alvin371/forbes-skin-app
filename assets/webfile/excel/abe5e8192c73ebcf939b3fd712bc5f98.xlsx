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DEDDA38-69F1-4B9E-82B2-C5F80AD272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<sst xmlns="http://schemas.openxmlformats.org/spreadsheetml/2006/main" count="90" uniqueCount="80">
  <si>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</si>
  <si>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</si>
  <si>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</si>
  <si>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</si>
  <si>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</si>
  <si>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</si>
  <si>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</si>
  <si>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</si>
  <si>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</si>
  <si>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</si>
  <si>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</si>
  <si>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</si>
  <si>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</si>
  <si>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</si>
  <si>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</si>
  <si>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</si>
  <si>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</si>
  <si>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</si>
  <si>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</si>
  <si>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</si>
  <si>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</si>
  <si>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</si>
  <si>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</si>
  <si>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</si>
  <si>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</si>
  <si>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</si>
  <si>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</si>
  <si>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</si>
  <si>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</si>
  <si>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</si>
  <si>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</si>
  <si>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</si>
  <si>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</si>
  <si>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</si>
  <si>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</si>
  <si>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</si>
  <si>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</si>
  <si>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</si>
  <si>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</si>
  <si>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</si>
  <si>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</si>
  <si>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</si>
  <si>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</si>
  <si>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</si>
  <si>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</si>
  <si>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</si>
  <si>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</si>
  <si>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</si>
  <si>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</si>
  <si>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</si>
  <si>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</si>
  <si>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</si>
  <si>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</si>
  <si>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2025-03-05 13:03:46</t>
  </si>
  <si>
    <t>WA</t>
  </si>
  <si>
    <t>CB</t>
  </si>
  <si>
    <t>Genteng</t>
  </si>
  <si>
    <t>Banyuwangi</t>
  </si>
  <si>
    <t>Jawa Timur</t>
  </si>
  <si>
    <t>PROCESSED</t>
  </si>
  <si>
    <t>PUSAT</t>
  </si>
  <si>
    <t>MG</t>
  </si>
  <si>
    <t>DLL</t>
  </si>
  <si>
    <t>TOKOLABS</t>
  </si>
  <si>
    <t>480 Miscella-V Strip, 1100 Buble Miller, 40 Kardus 2 Box Pomeglow, 5 Kardus 3 Box Miscella-G</t>
  </si>
  <si>
    <t>DI AMBIL DI TEMPAT</t>
  </si>
  <si>
    <t>SELESAI</t>
  </si>
  <si>
    <t>2025-03-05 13:03:47</t>
  </si>
  <si>
    <t>2025-03-05 13:03:48</t>
  </si>
  <si>
    <t>SPXID059345010543</t>
  </si>
  <si>
    <t>SPXID051410671863</t>
  </si>
  <si>
    <t xml:space="preserve">Jl. Somber 0 Rt 023 / Rw 00. Kel Batu Ampar, Kec Balikpapan Utara, Kota Balikpapan, Prov Kalimantan Timur KOTA BALIKPAPAN KALIMANTAN TIMUR </t>
  </si>
  <si>
    <t xml:space="preserve">HVQ6+FGM, Jl. Raya Jakarta-Bogor, Jatijajar, Kec. Tapos, Kota Depok, Jawa Barat 16415 KOTA DEPOK JAWA BARAT </t>
  </si>
  <si>
    <t>MV-BOX</t>
  </si>
  <si>
    <t>3-MV-STRIP</t>
  </si>
  <si>
    <t>SHOPEE EX</t>
  </si>
  <si>
    <t>SHOPEE MG</t>
  </si>
  <si>
    <t>MV</t>
  </si>
  <si>
    <t>DEPOK DC</t>
  </si>
  <si>
    <t>BALIKPAPAN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</si>
</sst>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\-_);_(@_)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Microsoft Sans Serif"/>
      <family val="2"/>
      <charset val="1"/>
    </font>
    <font>
      <b/>
      <sz val="10"/>
      <color rgb="FF000000"/>
      <name val="Arial"/>
      <family val="2"/>
      <charset val="1"/>
    </font>
    <font>
      <sz val="8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E4EAF4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3">
    <xf numFmtId="0" fontId="0" fillId="0" borderId="0"/>
    <xf numFmtId="0" fontId="3" fillId="4" borderId="0" applyProtection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64" fontId="4" fillId="4" borderId="0" xfId="1" applyNumberFormat="1" applyFont="1" applyAlignment="1" applyProtection="1">
      <alignment vertical="center"/>
    </xf>
    <xf numFmtId="0" fontId="6" fillId="5" borderId="2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5" borderId="2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5" borderId="2" xfId="2" applyFont="1" applyFill="1" applyBorder="1" applyAlignment="1">
      <alignment horizontal="left" vertical="center" wrapText="1"/>
    </xf>
  </cellXfs>
  <cellStyles count="3">
    <cellStyle name="Excel Built-in Neutral" xfId="1" xr:uid="{C2FF44C8-E7EA-438F-AFDF-0C56A8836520}"/>
    <cellStyle name="Normal" xfId="0" builtinId="0"/>
    <cellStyle name="Normal 2" xfId="2" xr:uid="{B39B70AB-904A-40CE-8DA2-BB891147799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%20Bhskin/Documents/ADMIN/INV%20BHSKIN%200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VOICE"/>
      <sheetName val="INVOICE"/>
      <sheetName val="INVOICE (2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workbookViewId="0">
      <selection activeCell="J3" sqref="J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90" x14ac:dyDescent="0.25">
      <c r="A2" s="3"/>
      <c r="B2" s="3"/>
      <c r="C2" s="3" t="s">
        <v>53</v>
      </c>
      <c r="D2" s="5"/>
      <c r="E2" s="3" t="s">
        <v>61</v>
      </c>
      <c r="F2" s="3" t="s">
        <v>54</v>
      </c>
      <c r="G2" s="3" t="s">
        <v>60</v>
      </c>
      <c r="H2" s="3" t="s">
        <v>62</v>
      </c>
      <c r="I2" s="3" t="s">
        <v>63</v>
      </c>
      <c r="J2" s="3"/>
      <c r="K2" s="3" t="s">
        <v>63</v>
      </c>
      <c r="L2" s="3"/>
      <c r="M2" s="3" t="s">
        <v>56</v>
      </c>
      <c r="N2" s="3" t="s">
        <v>57</v>
      </c>
      <c r="O2" s="3" t="s">
        <v>58</v>
      </c>
      <c r="P2" s="3" t="s">
        <v>64</v>
      </c>
      <c r="Q2" s="3"/>
      <c r="R2" s="3"/>
      <c r="S2" s="3" t="s">
        <v>65</v>
      </c>
      <c r="T2" s="3"/>
      <c r="U2" s="3"/>
      <c r="V2" s="4">
        <f>SUM([1]!Table23[TOTAL])</f>
        <v>7707000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</row>
    <row r="3" spans="1:53" ht="60" x14ac:dyDescent="0.25">
      <c r="A3" s="3"/>
      <c r="B3" s="3"/>
      <c r="C3" s="3" t="s">
        <v>67</v>
      </c>
      <c r="D3" s="9" t="s">
        <v>69</v>
      </c>
      <c r="E3" s="3" t="s">
        <v>61</v>
      </c>
      <c r="F3" s="3" t="s">
        <v>76</v>
      </c>
      <c r="G3" s="3" t="s">
        <v>77</v>
      </c>
      <c r="H3" s="3" t="s">
        <v>55</v>
      </c>
      <c r="I3" s="3" t="s">
        <v>79</v>
      </c>
      <c r="J3" s="3"/>
      <c r="K3" s="3" t="s">
        <v>79</v>
      </c>
      <c r="L3" s="7" t="s">
        <v>71</v>
      </c>
      <c r="M3" s="3"/>
      <c r="N3" s="3"/>
      <c r="O3" s="3"/>
      <c r="P3" s="9" t="s">
        <v>73</v>
      </c>
      <c r="Q3" s="3"/>
      <c r="R3" s="3"/>
      <c r="S3" s="3" t="s">
        <v>75</v>
      </c>
      <c r="T3" s="3"/>
      <c r="U3" s="3"/>
      <c r="V3" s="3">
        <v>0</v>
      </c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68</v>
      </c>
      <c r="D4" s="8" t="s">
        <v>70</v>
      </c>
      <c r="E4" s="3" t="s">
        <v>61</v>
      </c>
      <c r="F4" s="3" t="s">
        <v>76</v>
      </c>
      <c r="G4" s="3" t="s">
        <v>77</v>
      </c>
      <c r="H4" s="3" t="s">
        <v>55</v>
      </c>
      <c r="I4" s="3" t="s">
        <v>78</v>
      </c>
      <c r="J4" s="3"/>
      <c r="K4" s="3" t="s">
        <v>78</v>
      </c>
      <c r="L4" s="6" t="s">
        <v>72</v>
      </c>
      <c r="M4" s="3"/>
      <c r="N4" s="3"/>
      <c r="O4" s="3"/>
      <c r="P4" s="8" t="s">
        <v>74</v>
      </c>
      <c r="Q4" s="3"/>
      <c r="R4" s="3"/>
      <c r="S4" s="3" t="s">
        <v>75</v>
      </c>
      <c r="T4" s="3"/>
      <c r="U4" s="3"/>
      <c r="V4" s="3">
        <v>0</v>
      </c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</v>
      </c>
      <c r="AY4" s="3"/>
      <c r="AZ4" s="3"/>
      <c r="BA4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ORDER.03-Feb-2025.05-Mar-2025</dc:title>
  <dc:subject>ORDER.03-Feb-2025.05-Mar-2025</dc:subject>
  <dc:creator>KARYA STUDIO TEKNOLOGI DIGITAL</dc:creator>
  <cp:keywords>ORDER.03-Feb-2025.05-Mar-2025</cp:keywords>
  <dc:description>ORDER.03-Feb-2025.05-Mar-2025</dc:description>
  <cp:lastModifiedBy>Admin Bhskin</cp:lastModifiedBy>
  <dcterms:created xsi:type="dcterms:W3CDTF">2025-03-05T06:03:46Z</dcterms:created>
  <dcterms:modified xsi:type="dcterms:W3CDTF">2025-03-05T07:01:06Z</dcterms:modified>
  <cp:category/>
</cp:coreProperties>
</file>