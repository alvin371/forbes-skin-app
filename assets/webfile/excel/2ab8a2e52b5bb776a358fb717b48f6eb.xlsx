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732C1830-5E93-4326-8B3B-9DDBC5F66C6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KUList" sheetId="2" r:id="rId1"/>
  </sheets>
  <definedNames>
    <definedName name="_xlnm._FilterDatabase" localSheetId="0" hidden="1">OrderSKUList!$A$1:$BI$14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W3" i="2" l="1"/>
  <c r="AW4" i="2"/>
  <c r="AW5" i="2"/>
  <c r="AW6" i="2"/>
  <c r="AW7" i="2"/>
  <c r="AW8" i="2"/>
  <c r="AW9" i="2"/>
  <c r="AW10" i="2"/>
  <c r="AW11" i="2"/>
  <c r="AW12" i="2"/>
  <c r="AW13" i="2"/>
  <c r="AW14" i="2"/>
  <c r="AW2" i="2"/>
</calcChain>
</file>

<file path=xl/sharedStrings.xml><?xml version="1.0" encoding="utf-8"?>
<sst xmlns="http://schemas.openxmlformats.org/spreadsheetml/2006/main" count="554" uniqueCount="266">
  <si>
    <t>Order ID</t>
  </si>
  <si>
    <t>Order Status</t>
  </si>
  <si>
    <t>Order Substatus</t>
  </si>
  <si>
    <t>Cancelation/Return Type</t>
  </si>
  <si>
    <t>Normal or Pre-order</t>
  </si>
  <si>
    <t>SKU ID</t>
  </si>
  <si>
    <t>Seller SKU</t>
  </si>
  <si>
    <t>Product Name</t>
  </si>
  <si>
    <t>Variation</t>
  </si>
  <si>
    <t>Quantity</t>
  </si>
  <si>
    <t>Sku Quantity of return</t>
  </si>
  <si>
    <t>SKU Unit Original Price</t>
  </si>
  <si>
    <t>SKU Subtotal Before Discount</t>
  </si>
  <si>
    <t>SKU Platform Discount</t>
  </si>
  <si>
    <t>SKU Seller Discount</t>
  </si>
  <si>
    <t>Payment platform discount</t>
  </si>
  <si>
    <t>Buyer Service Fee</t>
  </si>
  <si>
    <t>Handling Fee</t>
  </si>
  <si>
    <t>Shipping Insurance</t>
  </si>
  <si>
    <t>Item Insurance</t>
  </si>
  <si>
    <t>Order Amount</t>
  </si>
  <si>
    <t>Order Refund Amount</t>
  </si>
  <si>
    <t>Created Time</t>
  </si>
  <si>
    <t>Paid Time</t>
  </si>
  <si>
    <t>RTS Time</t>
  </si>
  <si>
    <t>Shipped Time</t>
  </si>
  <si>
    <t>Delivered Time</t>
  </si>
  <si>
    <t>Cancelled Time</t>
  </si>
  <si>
    <t>Cancel By</t>
  </si>
  <si>
    <t>Cancel Reason</t>
  </si>
  <si>
    <t>Fulfillment Type</t>
  </si>
  <si>
    <t>Warehouse Name</t>
  </si>
  <si>
    <t>Tracking ID</t>
  </si>
  <si>
    <t>Delivery Option</t>
  </si>
  <si>
    <t>Shipping Provider Name</t>
  </si>
  <si>
    <t>Buyer Message</t>
  </si>
  <si>
    <t>Buyer Username</t>
  </si>
  <si>
    <t>Recipient</t>
  </si>
  <si>
    <t>Phone #</t>
  </si>
  <si>
    <t>Zipcode</t>
  </si>
  <si>
    <t>Country</t>
  </si>
  <si>
    <t>Province</t>
  </si>
  <si>
    <t>Regency and City</t>
  </si>
  <si>
    <t>Districts</t>
  </si>
  <si>
    <t>Villages</t>
  </si>
  <si>
    <t>Detail Address</t>
  </si>
  <si>
    <t>Additional address information</t>
  </si>
  <si>
    <t>Payment Method</t>
  </si>
  <si>
    <t>Weight(kg)</t>
  </si>
  <si>
    <t>Product Category</t>
  </si>
  <si>
    <t>Package ID</t>
  </si>
  <si>
    <t>Purchase Channel</t>
  </si>
  <si>
    <t>Seller Note</t>
  </si>
  <si>
    <t>Checked Status</t>
  </si>
  <si>
    <t>Checked Marked by</t>
  </si>
  <si>
    <t>Tokopedia Invoice Number</t>
  </si>
  <si>
    <t>577831571378702011</t>
  </si>
  <si>
    <t>To ship</t>
  </si>
  <si>
    <t>Awaiting collection</t>
  </si>
  <si>
    <t>Normal</t>
  </si>
  <si>
    <t>1729386080098420080</t>
  </si>
  <si>
    <t>PM15</t>
  </si>
  <si>
    <t>Pomeglow Collagen Drink - 15 Sachet - Bumil Busui Friendly</t>
  </si>
  <si>
    <t>Pomeglow 15</t>
  </si>
  <si>
    <t>1</t>
  </si>
  <si>
    <t>0</t>
  </si>
  <si>
    <t>IDR 120.000</t>
  </si>
  <si>
    <t>IDR 9.600</t>
  </si>
  <si>
    <t>IDR 0</t>
  </si>
  <si>
    <t>IDR 2.000</t>
  </si>
  <si>
    <t>IDR 122.400</t>
  </si>
  <si>
    <t>17/01/2025 08:12:15</t>
  </si>
  <si>
    <t>17/01/2025 17:46:33</t>
  </si>
  <si>
    <t>18/01/2025 10:06:09</t>
  </si>
  <si>
    <t>Fulfillment by seller</t>
  </si>
  <si>
    <t>Pomeglow Indonesia</t>
  </si>
  <si>
    <t>JX3346184154</t>
  </si>
  <si>
    <t>Pengiriman standar</t>
  </si>
  <si>
    <t>silvi.afrima</t>
  </si>
  <si>
    <t>S**** A*****</t>
  </si>
  <si>
    <t>Indonesia</t>
  </si>
  <si>
    <t>Kepulauan Riau</t>
  </si>
  <si>
    <t>Pa*** *******</t>
  </si>
  <si>
    <t>Jl* ***** *** *****</t>
  </si>
  <si>
    <t>ti*** * **** ** ** **</t>
  </si>
  <si>
    <t>0.5</t>
  </si>
  <si>
    <t>Beauty Supplement</t>
  </si>
  <si>
    <t>1157511806127670971</t>
  </si>
  <si>
    <t>TikTok</t>
  </si>
  <si>
    <t>Unchecked</t>
  </si>
  <si>
    <t>577835789017515775</t>
  </si>
  <si>
    <t>IDR 29.840</t>
  </si>
  <si>
    <t>IDR 1.300</t>
  </si>
  <si>
    <t>IDR 91.460</t>
  </si>
  <si>
    <t>17/01/2025 20:31:16</t>
  </si>
  <si>
    <t>17/01/2025 20:31:32</t>
  </si>
  <si>
    <t>JX3346335450</t>
  </si>
  <si>
    <t>chostiana99</t>
  </si>
  <si>
    <t>E** S**** C</t>
  </si>
  <si>
    <t>Jawa Tengah</t>
  </si>
  <si>
    <t>Karanganyar</t>
  </si>
  <si>
    <t>Ja*******</t>
  </si>
  <si>
    <t>Wa*** ********** ********** ********* ***********</t>
  </si>
  <si>
    <t>1157514409414133503</t>
  </si>
  <si>
    <t>577835863997252618</t>
  </si>
  <si>
    <t>IDR 29.262</t>
  </si>
  <si>
    <t>IDR 1.500</t>
  </si>
  <si>
    <t>IDR 1.017</t>
  </si>
  <si>
    <t>IDR 102.755</t>
  </si>
  <si>
    <t>17/01/2025 20:43:57</t>
  </si>
  <si>
    <t>JX3346315450</t>
  </si>
  <si>
    <t>yenimanik03</t>
  </si>
  <si>
    <t>Y***</t>
  </si>
  <si>
    <t>Kalimantan Timur</t>
  </si>
  <si>
    <t>Samarinda</t>
  </si>
  <si>
    <t>Pa*****</t>
  </si>
  <si>
    <t>Bu****</t>
  </si>
  <si>
    <t>Ja*** ******** ********** ******* ******* ******** **** ********** ********** ****** *********</t>
  </si>
  <si>
    <t>Jl** ** ********** ******* ******* ******** **** ********** ********** ****** *** ******* **-**** **** ***** *** **** *****</t>
  </si>
  <si>
    <t>1157514636779750410</t>
  </si>
  <si>
    <t>577836636999747018</t>
  </si>
  <si>
    <t>IDR 1.200</t>
  </si>
  <si>
    <t>IDR 1.212</t>
  </si>
  <si>
    <t>IDR 122.412</t>
  </si>
  <si>
    <t>17/01/2025 23:16:24</t>
  </si>
  <si>
    <t>JX3347395450</t>
  </si>
  <si>
    <t>rimbiaj</t>
  </si>
  <si>
    <t>a***</t>
  </si>
  <si>
    <t>Jawa Timur</t>
  </si>
  <si>
    <t>Ka**** *****</t>
  </si>
  <si>
    <t>Mt* ******** ***** **** ***** **** ****** ******** ****** ****** ****</t>
  </si>
  <si>
    <t>1157516473575507402</t>
  </si>
  <si>
    <t>577836881142777697</t>
  </si>
  <si>
    <t>IDR 1.100</t>
  </si>
  <si>
    <t>IDR 1.115</t>
  </si>
  <si>
    <t>IDR 112.615</t>
  </si>
  <si>
    <t>18/01/2025 00:53:00</t>
  </si>
  <si>
    <t>NJVTT06135536891</t>
  </si>
  <si>
    <t>niavey_</t>
  </si>
  <si>
    <t>n** s******</t>
  </si>
  <si>
    <t>Sumenep</t>
  </si>
  <si>
    <t>Ke******* ************</t>
  </si>
  <si>
    <t>se***** ***** ****** ** ******** ***** ******* ** *** ** *** ************</t>
  </si>
  <si>
    <t>1157517324462098273</t>
  </si>
  <si>
    <t>577837134425588754</t>
  </si>
  <si>
    <t>IDR 7.358</t>
  </si>
  <si>
    <t>IDR 1.137</t>
  </si>
  <si>
    <t>IDR 114.879</t>
  </si>
  <si>
    <t>18/01/2025 04:56:43</t>
  </si>
  <si>
    <t>NJVTT06137646490</t>
  </si>
  <si>
    <t>nayno80</t>
  </si>
  <si>
    <t>R***</t>
  </si>
  <si>
    <t>Pi*********</t>
  </si>
  <si>
    <t>Jl* ****** ***** ***** *********** **** ****** **** ***** *********</t>
  </si>
  <si>
    <t>1157518342798083090</t>
  </si>
  <si>
    <t>577837331701531905</t>
  </si>
  <si>
    <t>IDR 1.130</t>
  </si>
  <si>
    <t>IDR 121.170</t>
  </si>
  <si>
    <t>18/01/2025 06:30:18</t>
  </si>
  <si>
    <t>NJVTT06137596791</t>
  </si>
  <si>
    <t>asrafzahirul1</t>
  </si>
  <si>
    <t>i**** w***</t>
  </si>
  <si>
    <t>Ke*******</t>
  </si>
  <si>
    <t>Ja*** ***** **** **** **</t>
  </si>
  <si>
    <t>pe*** ****** ****** **** * ** *************</t>
  </si>
  <si>
    <t>1157519087718008065</t>
  </si>
  <si>
    <t>577837367263659968</t>
  </si>
  <si>
    <t>1729488740184263024</t>
  </si>
  <si>
    <t>2-PM15</t>
  </si>
  <si>
    <t>2 Pomeglow 15</t>
  </si>
  <si>
    <t>IDR 230.000</t>
  </si>
  <si>
    <t>IDR 1.800</t>
  </si>
  <si>
    <t>IDR 231.800</t>
  </si>
  <si>
    <t>18/01/2025 06:41:47</t>
  </si>
  <si>
    <t>JX3346355450</t>
  </si>
  <si>
    <t>khodijah_91</t>
  </si>
  <si>
    <t>s*** k*******</t>
  </si>
  <si>
    <t>Kalimantan Barat</t>
  </si>
  <si>
    <t>Pontianak</t>
  </si>
  <si>
    <t>Si***** ****</t>
  </si>
  <si>
    <t>Ga** ***** ******** ***</t>
  </si>
  <si>
    <t>jl* ***** ******** ** **** * **** ***</t>
  </si>
  <si>
    <t>1157519209873704896</t>
  </si>
  <si>
    <t>577837490297865835</t>
  </si>
  <si>
    <t>IDR 915</t>
  </si>
  <si>
    <t>IDR 92.375</t>
  </si>
  <si>
    <t>18/01/2025 07:19:22</t>
  </si>
  <si>
    <t>JX3348104154</t>
  </si>
  <si>
    <t>lianaandayanii</t>
  </si>
  <si>
    <t>l**** a********</t>
  </si>
  <si>
    <t>Jawa Barat</t>
  </si>
  <si>
    <t>Si********</t>
  </si>
  <si>
    <t>jl* **** ****** *********** * ** **** ** ****** **** * ** *****</t>
  </si>
  <si>
    <t>1157519836261615211</t>
  </si>
  <si>
    <t>577837514169681876</t>
  </si>
  <si>
    <t>18/01/2025 07:26:54</t>
  </si>
  <si>
    <t>NJVTT06135556891</t>
  </si>
  <si>
    <t>kamilla.54321</t>
  </si>
  <si>
    <t>m*** M***</t>
  </si>
  <si>
    <t>Te**</t>
  </si>
  <si>
    <t>Ma***** ** ** ** ** **** *** ***** ********** *****</t>
  </si>
  <si>
    <t>1157519983856224212</t>
  </si>
  <si>
    <t>577837523429590041</t>
  </si>
  <si>
    <t>IDR 3.323</t>
  </si>
  <si>
    <t>IDR 1.178</t>
  </si>
  <si>
    <t>IDR 118.955</t>
  </si>
  <si>
    <t>18/01/2025 07:27:27</t>
  </si>
  <si>
    <t>NJVTT06137626490</t>
  </si>
  <si>
    <t>bebenvien</t>
  </si>
  <si>
    <t>V**** d*****</t>
  </si>
  <si>
    <t>Ta*****</t>
  </si>
  <si>
    <t>jl* **** ******* ***** ** ***** ******** ***** ***** ***** ****</t>
  </si>
  <si>
    <t>1157520029032350745</t>
  </si>
  <si>
    <t>577838731622647583</t>
  </si>
  <si>
    <t>1729683815490685296</t>
  </si>
  <si>
    <t>Pomeglow Collagen Bumil Busui Friendly - 15 Sachet</t>
  </si>
  <si>
    <t>1 Box</t>
  </si>
  <si>
    <t>IDR 7.000</t>
  </si>
  <si>
    <t>IDR 1.141</t>
  </si>
  <si>
    <t>IDR 115.241</t>
  </si>
  <si>
    <t>18/01/2025 11:36:42</t>
  </si>
  <si>
    <t>18/01/2025 12:42:09</t>
  </si>
  <si>
    <t>NJVTT06130227091</t>
  </si>
  <si>
    <t>mfrdztrndyh</t>
  </si>
  <si>
    <t>N*** A** K********</t>
  </si>
  <si>
    <t>Banjarnegara</t>
  </si>
  <si>
    <t>Sa*****</t>
  </si>
  <si>
    <t>Ja*** **** ******* ***** **** ***************** *** ************ ********** ** *****</t>
  </si>
  <si>
    <t>0.4</t>
  </si>
  <si>
    <t>1157526333264398111</t>
  </si>
  <si>
    <t>577838914461075340</t>
  </si>
  <si>
    <t>IDR 2.318</t>
  </si>
  <si>
    <t>IDR 234.118</t>
  </si>
  <si>
    <t>18/01/2025 12:09:17</t>
  </si>
  <si>
    <t>JX3342220668</t>
  </si>
  <si>
    <t>fatmawatiwati076</t>
  </si>
  <si>
    <t>f********</t>
  </si>
  <si>
    <t>South Sulawesi</t>
  </si>
  <si>
    <t>Bone</t>
  </si>
  <si>
    <t>Pa*** **** ******* **** **** **** ***** *******</t>
  </si>
  <si>
    <t>du*** ********* *** ***</t>
  </si>
  <si>
    <t>1157527203990046604</t>
  </si>
  <si>
    <t>NINJA</t>
  </si>
  <si>
    <t>J&amp;T</t>
  </si>
  <si>
    <t>6288*******00</t>
  </si>
  <si>
    <t>6282*******08</t>
  </si>
  <si>
    <t>6282*******35</t>
  </si>
  <si>
    <t>62878******04</t>
  </si>
  <si>
    <t>62895******95</t>
  </si>
  <si>
    <t>62852******65</t>
  </si>
  <si>
    <t>62852******33</t>
  </si>
  <si>
    <t>62857******88</t>
  </si>
  <si>
    <t>62857******09</t>
  </si>
  <si>
    <t>62856******79</t>
  </si>
  <si>
    <t>62877******67</t>
  </si>
  <si>
    <t>62858******00</t>
  </si>
  <si>
    <t>62813******16</t>
  </si>
  <si>
    <t>Batam</t>
  </si>
  <si>
    <t>Madiun</t>
  </si>
  <si>
    <t>Bangkalan</t>
  </si>
  <si>
    <t>Pamekasan</t>
  </si>
  <si>
    <t>Jember</t>
  </si>
  <si>
    <t>Bogor</t>
  </si>
  <si>
    <t>Bojonegoro</t>
  </si>
  <si>
    <t>COD</t>
  </si>
  <si>
    <t>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</si>
</sst>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3" fontId="0" fillId="2" borderId="0" xfId="0" applyNumberFormat="1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14"/>
  <sheetViews>
    <sheetView tabSelected="1" topLeftCell="AG1" workbookViewId="0">
      <selection activeCell="AR34" sqref="AR33:AR34"/>
    </sheetView>
  </sheetViews>
  <sheetFormatPr defaultRowHeight="15" x14ac:dyDescent="0.25"/>
  <cols>
    <col min="1" max="1" width="30" customWidth="1"/>
    <col min="8" max="9" width="30" customWidth="1"/>
    <col min="10" max="10" width="10" customWidth="1"/>
    <col min="13" max="13" width="9.140625" style="1"/>
    <col min="15" max="15" width="9.140625" style="1"/>
    <col min="38" max="38" width="20" customWidth="1"/>
  </cols>
  <sheetData>
    <row r="1" spans="1:6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1" t="s">
        <v>12</v>
      </c>
      <c r="N1" t="s">
        <v>13</v>
      </c>
      <c r="O1" s="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</row>
    <row r="2" spans="1:61" x14ac:dyDescent="0.25">
      <c r="A2" t="s">
        <v>56</v>
      </c>
      <c r="B2" t="s">
        <v>57</v>
      </c>
      <c r="C2" t="s">
        <v>58</v>
      </c>
      <c r="E2" t="s">
        <v>59</v>
      </c>
      <c r="F2" t="s">
        <v>60</v>
      </c>
      <c r="G2" t="s">
        <v>61</v>
      </c>
      <c r="H2" t="s">
        <v>62</v>
      </c>
      <c r="I2" t="s">
        <v>63</v>
      </c>
      <c r="J2" t="s">
        <v>64</v>
      </c>
      <c r="K2" t="s">
        <v>65</v>
      </c>
      <c r="L2" t="s">
        <v>66</v>
      </c>
      <c r="M2" s="2">
        <v>120000</v>
      </c>
      <c r="N2" t="s">
        <v>67</v>
      </c>
      <c r="O2" s="1">
        <v>0</v>
      </c>
      <c r="P2">
        <v>1</v>
      </c>
      <c r="V2" t="s">
        <v>69</v>
      </c>
      <c r="X2" t="s">
        <v>68</v>
      </c>
      <c r="Y2" t="s">
        <v>68</v>
      </c>
      <c r="Z2" t="s">
        <v>70</v>
      </c>
      <c r="AB2" t="s">
        <v>71</v>
      </c>
      <c r="AC2" t="s">
        <v>72</v>
      </c>
      <c r="AD2" t="s">
        <v>73</v>
      </c>
      <c r="AJ2" t="s">
        <v>74</v>
      </c>
      <c r="AK2" t="s">
        <v>75</v>
      </c>
      <c r="AL2" t="s">
        <v>76</v>
      </c>
      <c r="AM2" t="s">
        <v>77</v>
      </c>
      <c r="AN2" t="s">
        <v>243</v>
      </c>
      <c r="AP2" t="s">
        <v>78</v>
      </c>
      <c r="AQ2" t="s">
        <v>79</v>
      </c>
      <c r="AR2" t="s">
        <v>247</v>
      </c>
      <c r="AT2" t="s">
        <v>80</v>
      </c>
      <c r="AU2" t="s">
        <v>81</v>
      </c>
      <c r="AV2" t="s">
        <v>257</v>
      </c>
      <c r="AW2" t="str">
        <f>UPPER(AV2)</f>
        <v>BATAM</v>
      </c>
      <c r="AX2" t="s">
        <v>82</v>
      </c>
      <c r="AY2" t="s">
        <v>83</v>
      </c>
      <c r="AZ2" t="s">
        <v>84</v>
      </c>
      <c r="BA2" t="s">
        <v>265</v>
      </c>
      <c r="BB2" t="s">
        <v>85</v>
      </c>
      <c r="BC2" t="s">
        <v>86</v>
      </c>
      <c r="BD2" t="s">
        <v>87</v>
      </c>
      <c r="BE2" t="s">
        <v>88</v>
      </c>
      <c r="BG2" t="s">
        <v>89</v>
      </c>
    </row>
    <row r="3" spans="1:61" x14ac:dyDescent="0.25">
      <c r="A3" t="s">
        <v>90</v>
      </c>
      <c r="B3" t="s">
        <v>57</v>
      </c>
      <c r="C3" t="s">
        <v>58</v>
      </c>
      <c r="E3" t="s">
        <v>59</v>
      </c>
      <c r="F3" t="s">
        <v>60</v>
      </c>
      <c r="G3" t="s">
        <v>61</v>
      </c>
      <c r="H3" t="s">
        <v>62</v>
      </c>
      <c r="I3" t="s">
        <v>63</v>
      </c>
      <c r="J3" t="s">
        <v>64</v>
      </c>
      <c r="K3" t="s">
        <v>65</v>
      </c>
      <c r="L3" t="s">
        <v>66</v>
      </c>
      <c r="M3" s="2">
        <v>120000</v>
      </c>
      <c r="N3" t="s">
        <v>91</v>
      </c>
      <c r="O3" s="1">
        <v>0</v>
      </c>
      <c r="P3">
        <v>1</v>
      </c>
      <c r="V3" t="s">
        <v>92</v>
      </c>
      <c r="X3" t="s">
        <v>68</v>
      </c>
      <c r="Y3" t="s">
        <v>68</v>
      </c>
      <c r="Z3" t="s">
        <v>93</v>
      </c>
      <c r="AB3" t="s">
        <v>94</v>
      </c>
      <c r="AC3" t="s">
        <v>95</v>
      </c>
      <c r="AD3" t="s">
        <v>73</v>
      </c>
      <c r="AJ3" t="s">
        <v>74</v>
      </c>
      <c r="AK3" t="s">
        <v>75</v>
      </c>
      <c r="AL3" t="s">
        <v>96</v>
      </c>
      <c r="AM3" t="s">
        <v>77</v>
      </c>
      <c r="AN3" t="s">
        <v>243</v>
      </c>
      <c r="AP3" t="s">
        <v>97</v>
      </c>
      <c r="AQ3" t="s">
        <v>98</v>
      </c>
      <c r="AR3" t="s">
        <v>248</v>
      </c>
      <c r="AT3" t="s">
        <v>80</v>
      </c>
      <c r="AU3" t="s">
        <v>99</v>
      </c>
      <c r="AV3" t="s">
        <v>100</v>
      </c>
      <c r="AW3" t="str">
        <f t="shared" ref="AW3:AW14" si="0">UPPER(AV3)</f>
        <v>KARANGANYAR</v>
      </c>
      <c r="AX3" t="s">
        <v>101</v>
      </c>
      <c r="AY3" t="s">
        <v>102</v>
      </c>
      <c r="BA3" t="s">
        <v>265</v>
      </c>
      <c r="BB3" t="s">
        <v>85</v>
      </c>
      <c r="BC3" t="s">
        <v>86</v>
      </c>
      <c r="BD3" t="s">
        <v>103</v>
      </c>
      <c r="BE3" t="s">
        <v>88</v>
      </c>
      <c r="BG3" t="s">
        <v>89</v>
      </c>
    </row>
    <row r="4" spans="1:61" x14ac:dyDescent="0.25">
      <c r="A4" t="s">
        <v>104</v>
      </c>
      <c r="B4" t="s">
        <v>57</v>
      </c>
      <c r="C4" t="s">
        <v>58</v>
      </c>
      <c r="E4" t="s">
        <v>59</v>
      </c>
      <c r="F4" t="s">
        <v>60</v>
      </c>
      <c r="G4" t="s">
        <v>61</v>
      </c>
      <c r="H4" t="s">
        <v>62</v>
      </c>
      <c r="I4" t="s">
        <v>63</v>
      </c>
      <c r="J4" t="s">
        <v>64</v>
      </c>
      <c r="K4" t="s">
        <v>65</v>
      </c>
      <c r="L4" t="s">
        <v>66</v>
      </c>
      <c r="M4" s="2">
        <v>120000</v>
      </c>
      <c r="N4" t="s">
        <v>105</v>
      </c>
      <c r="O4" s="1">
        <v>0</v>
      </c>
      <c r="P4">
        <v>1</v>
      </c>
      <c r="V4" t="s">
        <v>106</v>
      </c>
      <c r="W4" t="s">
        <v>107</v>
      </c>
      <c r="X4" t="s">
        <v>68</v>
      </c>
      <c r="Y4" t="s">
        <v>68</v>
      </c>
      <c r="Z4" t="s">
        <v>108</v>
      </c>
      <c r="AB4" t="s">
        <v>109</v>
      </c>
      <c r="AD4" t="s">
        <v>73</v>
      </c>
      <c r="AJ4" t="s">
        <v>74</v>
      </c>
      <c r="AK4" t="s">
        <v>75</v>
      </c>
      <c r="AL4" t="s">
        <v>110</v>
      </c>
      <c r="AM4" t="s">
        <v>77</v>
      </c>
      <c r="AN4" t="s">
        <v>243</v>
      </c>
      <c r="AP4" t="s">
        <v>111</v>
      </c>
      <c r="AQ4" t="s">
        <v>112</v>
      </c>
      <c r="AR4" t="s">
        <v>249</v>
      </c>
      <c r="AT4" t="s">
        <v>80</v>
      </c>
      <c r="AU4" t="s">
        <v>113</v>
      </c>
      <c r="AV4" t="s">
        <v>114</v>
      </c>
      <c r="AW4" t="str">
        <f t="shared" si="0"/>
        <v>SAMARINDA</v>
      </c>
      <c r="AX4" t="s">
        <v>116</v>
      </c>
      <c r="AY4" t="s">
        <v>117</v>
      </c>
      <c r="AZ4" t="s">
        <v>118</v>
      </c>
      <c r="BA4" t="s">
        <v>264</v>
      </c>
      <c r="BB4" t="s">
        <v>85</v>
      </c>
      <c r="BC4" t="s">
        <v>86</v>
      </c>
      <c r="BD4" t="s">
        <v>119</v>
      </c>
      <c r="BE4" t="s">
        <v>88</v>
      </c>
      <c r="BG4" t="s">
        <v>89</v>
      </c>
    </row>
    <row r="5" spans="1:61" x14ac:dyDescent="0.25">
      <c r="A5" t="s">
        <v>120</v>
      </c>
      <c r="B5" t="s">
        <v>57</v>
      </c>
      <c r="C5" t="s">
        <v>58</v>
      </c>
      <c r="E5" t="s">
        <v>59</v>
      </c>
      <c r="F5" t="s">
        <v>60</v>
      </c>
      <c r="G5" t="s">
        <v>61</v>
      </c>
      <c r="H5" t="s">
        <v>62</v>
      </c>
      <c r="I5" t="s">
        <v>63</v>
      </c>
      <c r="J5" t="s">
        <v>64</v>
      </c>
      <c r="K5" t="s">
        <v>65</v>
      </c>
      <c r="L5" t="s">
        <v>66</v>
      </c>
      <c r="M5" s="2">
        <v>120000</v>
      </c>
      <c r="N5" t="s">
        <v>68</v>
      </c>
      <c r="O5" s="1">
        <v>0</v>
      </c>
      <c r="P5">
        <v>1</v>
      </c>
      <c r="V5" t="s">
        <v>121</v>
      </c>
      <c r="W5" t="s">
        <v>122</v>
      </c>
      <c r="X5" t="s">
        <v>68</v>
      </c>
      <c r="Y5" t="s">
        <v>68</v>
      </c>
      <c r="Z5" t="s">
        <v>123</v>
      </c>
      <c r="AB5" t="s">
        <v>124</v>
      </c>
      <c r="AD5" t="s">
        <v>73</v>
      </c>
      <c r="AJ5" t="s">
        <v>74</v>
      </c>
      <c r="AK5" t="s">
        <v>75</v>
      </c>
      <c r="AL5" t="s">
        <v>125</v>
      </c>
      <c r="AM5" t="s">
        <v>77</v>
      </c>
      <c r="AN5" t="s">
        <v>243</v>
      </c>
      <c r="AP5" t="s">
        <v>126</v>
      </c>
      <c r="AQ5" t="s">
        <v>127</v>
      </c>
      <c r="AR5" t="s">
        <v>244</v>
      </c>
      <c r="AT5" t="s">
        <v>80</v>
      </c>
      <c r="AU5" t="s">
        <v>128</v>
      </c>
      <c r="AV5" t="s">
        <v>261</v>
      </c>
      <c r="AW5" t="str">
        <f t="shared" si="0"/>
        <v>JEMBER</v>
      </c>
      <c r="AX5" t="s">
        <v>129</v>
      </c>
      <c r="AY5" t="s">
        <v>130</v>
      </c>
      <c r="BA5" t="s">
        <v>264</v>
      </c>
      <c r="BB5" t="s">
        <v>85</v>
      </c>
      <c r="BC5" t="s">
        <v>86</v>
      </c>
      <c r="BD5" t="s">
        <v>131</v>
      </c>
      <c r="BE5" t="s">
        <v>88</v>
      </c>
      <c r="BG5" t="s">
        <v>89</v>
      </c>
    </row>
    <row r="6" spans="1:61" x14ac:dyDescent="0.25">
      <c r="A6" t="s">
        <v>132</v>
      </c>
      <c r="B6" t="s">
        <v>57</v>
      </c>
      <c r="C6" t="s">
        <v>58</v>
      </c>
      <c r="E6" t="s">
        <v>59</v>
      </c>
      <c r="F6" t="s">
        <v>60</v>
      </c>
      <c r="G6" t="s">
        <v>61</v>
      </c>
      <c r="H6" t="s">
        <v>62</v>
      </c>
      <c r="I6" t="s">
        <v>63</v>
      </c>
      <c r="J6" t="s">
        <v>64</v>
      </c>
      <c r="K6" t="s">
        <v>65</v>
      </c>
      <c r="L6" t="s">
        <v>66</v>
      </c>
      <c r="M6" s="2">
        <v>120000</v>
      </c>
      <c r="N6" t="s">
        <v>67</v>
      </c>
      <c r="O6" s="1">
        <v>0</v>
      </c>
      <c r="P6">
        <v>1</v>
      </c>
      <c r="V6" t="s">
        <v>133</v>
      </c>
      <c r="W6" t="s">
        <v>134</v>
      </c>
      <c r="X6" t="s">
        <v>68</v>
      </c>
      <c r="Y6" t="s">
        <v>68</v>
      </c>
      <c r="Z6" t="s">
        <v>135</v>
      </c>
      <c r="AB6" t="s">
        <v>136</v>
      </c>
      <c r="AD6" t="s">
        <v>73</v>
      </c>
      <c r="AJ6" t="s">
        <v>74</v>
      </c>
      <c r="AK6" t="s">
        <v>75</v>
      </c>
      <c r="AL6" t="s">
        <v>137</v>
      </c>
      <c r="AM6" t="s">
        <v>77</v>
      </c>
      <c r="AN6" t="s">
        <v>242</v>
      </c>
      <c r="AP6" t="s">
        <v>138</v>
      </c>
      <c r="AQ6" t="s">
        <v>139</v>
      </c>
      <c r="AR6" t="s">
        <v>250</v>
      </c>
      <c r="AT6" t="s">
        <v>80</v>
      </c>
      <c r="AU6" t="s">
        <v>128</v>
      </c>
      <c r="AV6" t="s">
        <v>140</v>
      </c>
      <c r="AW6" t="str">
        <f t="shared" si="0"/>
        <v>SUMENEP</v>
      </c>
      <c r="AX6" t="s">
        <v>141</v>
      </c>
      <c r="AY6" t="s">
        <v>142</v>
      </c>
      <c r="BA6" t="s">
        <v>264</v>
      </c>
      <c r="BB6" t="s">
        <v>85</v>
      </c>
      <c r="BC6" t="s">
        <v>86</v>
      </c>
      <c r="BD6" t="s">
        <v>143</v>
      </c>
      <c r="BE6" t="s">
        <v>88</v>
      </c>
      <c r="BG6" t="s">
        <v>89</v>
      </c>
    </row>
    <row r="7" spans="1:61" x14ac:dyDescent="0.25">
      <c r="A7" t="s">
        <v>144</v>
      </c>
      <c r="B7" t="s">
        <v>57</v>
      </c>
      <c r="C7" t="s">
        <v>58</v>
      </c>
      <c r="E7" t="s">
        <v>59</v>
      </c>
      <c r="F7" t="s">
        <v>60</v>
      </c>
      <c r="G7" t="s">
        <v>61</v>
      </c>
      <c r="H7" t="s">
        <v>62</v>
      </c>
      <c r="I7" t="s">
        <v>63</v>
      </c>
      <c r="J7" t="s">
        <v>64</v>
      </c>
      <c r="K7" t="s">
        <v>65</v>
      </c>
      <c r="L7" t="s">
        <v>66</v>
      </c>
      <c r="M7" s="2">
        <v>120000</v>
      </c>
      <c r="N7" t="s">
        <v>145</v>
      </c>
      <c r="O7" s="1">
        <v>0</v>
      </c>
      <c r="P7">
        <v>1</v>
      </c>
      <c r="V7" t="s">
        <v>133</v>
      </c>
      <c r="W7" t="s">
        <v>146</v>
      </c>
      <c r="X7" t="s">
        <v>68</v>
      </c>
      <c r="Y7" t="s">
        <v>68</v>
      </c>
      <c r="Z7" t="s">
        <v>147</v>
      </c>
      <c r="AB7" t="s">
        <v>148</v>
      </c>
      <c r="AD7" t="s">
        <v>73</v>
      </c>
      <c r="AJ7" t="s">
        <v>74</v>
      </c>
      <c r="AK7" t="s">
        <v>75</v>
      </c>
      <c r="AL7" t="s">
        <v>149</v>
      </c>
      <c r="AM7" t="s">
        <v>77</v>
      </c>
      <c r="AN7" t="s">
        <v>242</v>
      </c>
      <c r="AP7" t="s">
        <v>150</v>
      </c>
      <c r="AQ7" t="s">
        <v>151</v>
      </c>
      <c r="AR7" t="s">
        <v>245</v>
      </c>
      <c r="AT7" t="s">
        <v>80</v>
      </c>
      <c r="AU7" t="s">
        <v>128</v>
      </c>
      <c r="AV7" t="s">
        <v>258</v>
      </c>
      <c r="AW7" t="str">
        <f t="shared" si="0"/>
        <v>MADIUN</v>
      </c>
      <c r="AX7" t="s">
        <v>152</v>
      </c>
      <c r="AY7" t="s">
        <v>153</v>
      </c>
      <c r="BA7" t="s">
        <v>264</v>
      </c>
      <c r="BB7" t="s">
        <v>85</v>
      </c>
      <c r="BC7" t="s">
        <v>86</v>
      </c>
      <c r="BD7" t="s">
        <v>154</v>
      </c>
      <c r="BE7" t="s">
        <v>88</v>
      </c>
      <c r="BG7" t="s">
        <v>89</v>
      </c>
    </row>
    <row r="8" spans="1:61" x14ac:dyDescent="0.25">
      <c r="A8" t="s">
        <v>155</v>
      </c>
      <c r="B8" t="s">
        <v>57</v>
      </c>
      <c r="C8" t="s">
        <v>58</v>
      </c>
      <c r="E8" t="s">
        <v>59</v>
      </c>
      <c r="F8" t="s">
        <v>60</v>
      </c>
      <c r="G8" t="s">
        <v>61</v>
      </c>
      <c r="H8" t="s">
        <v>62</v>
      </c>
      <c r="I8" t="s">
        <v>63</v>
      </c>
      <c r="J8" t="s">
        <v>64</v>
      </c>
      <c r="K8" t="s">
        <v>65</v>
      </c>
      <c r="L8" t="s">
        <v>66</v>
      </c>
      <c r="M8" s="2">
        <v>120000</v>
      </c>
      <c r="N8" t="s">
        <v>156</v>
      </c>
      <c r="O8" s="1">
        <v>0</v>
      </c>
      <c r="P8">
        <v>1</v>
      </c>
      <c r="V8" t="s">
        <v>133</v>
      </c>
      <c r="W8" t="s">
        <v>121</v>
      </c>
      <c r="X8" t="s">
        <v>68</v>
      </c>
      <c r="Y8" t="s">
        <v>68</v>
      </c>
      <c r="Z8" t="s">
        <v>157</v>
      </c>
      <c r="AB8" t="s">
        <v>158</v>
      </c>
      <c r="AD8" t="s">
        <v>73</v>
      </c>
      <c r="AJ8" t="s">
        <v>74</v>
      </c>
      <c r="AK8" t="s">
        <v>75</v>
      </c>
      <c r="AL8" t="s">
        <v>159</v>
      </c>
      <c r="AM8" t="s">
        <v>77</v>
      </c>
      <c r="AN8" t="s">
        <v>242</v>
      </c>
      <c r="AP8" t="s">
        <v>160</v>
      </c>
      <c r="AQ8" t="s">
        <v>161</v>
      </c>
      <c r="AR8" t="s">
        <v>251</v>
      </c>
      <c r="AT8" t="s">
        <v>80</v>
      </c>
      <c r="AU8" t="s">
        <v>128</v>
      </c>
      <c r="AV8" t="s">
        <v>259</v>
      </c>
      <c r="AW8" t="str">
        <f t="shared" si="0"/>
        <v>BANGKALAN</v>
      </c>
      <c r="AX8" t="s">
        <v>162</v>
      </c>
      <c r="AY8" t="s">
        <v>163</v>
      </c>
      <c r="AZ8" t="s">
        <v>164</v>
      </c>
      <c r="BA8" t="s">
        <v>264</v>
      </c>
      <c r="BB8" t="s">
        <v>85</v>
      </c>
      <c r="BC8" t="s">
        <v>86</v>
      </c>
      <c r="BD8" t="s">
        <v>165</v>
      </c>
      <c r="BE8" t="s">
        <v>88</v>
      </c>
      <c r="BG8" t="s">
        <v>89</v>
      </c>
    </row>
    <row r="9" spans="1:61" x14ac:dyDescent="0.25">
      <c r="A9" t="s">
        <v>166</v>
      </c>
      <c r="B9" t="s">
        <v>57</v>
      </c>
      <c r="C9" t="s">
        <v>58</v>
      </c>
      <c r="E9" t="s">
        <v>59</v>
      </c>
      <c r="F9" t="s">
        <v>167</v>
      </c>
      <c r="G9" t="s">
        <v>168</v>
      </c>
      <c r="H9" t="s">
        <v>62</v>
      </c>
      <c r="I9" t="s">
        <v>169</v>
      </c>
      <c r="J9" t="s">
        <v>64</v>
      </c>
      <c r="K9" t="s">
        <v>65</v>
      </c>
      <c r="L9" t="s">
        <v>170</v>
      </c>
      <c r="M9" s="2">
        <v>230000</v>
      </c>
      <c r="N9" t="s">
        <v>68</v>
      </c>
      <c r="O9" s="1">
        <v>0</v>
      </c>
      <c r="P9">
        <v>2</v>
      </c>
      <c r="V9" t="s">
        <v>171</v>
      </c>
      <c r="X9" t="s">
        <v>68</v>
      </c>
      <c r="Y9" t="s">
        <v>68</v>
      </c>
      <c r="Z9" t="s">
        <v>172</v>
      </c>
      <c r="AB9" t="s">
        <v>173</v>
      </c>
      <c r="AD9" t="s">
        <v>73</v>
      </c>
      <c r="AJ9" t="s">
        <v>74</v>
      </c>
      <c r="AK9" t="s">
        <v>75</v>
      </c>
      <c r="AL9" t="s">
        <v>174</v>
      </c>
      <c r="AM9" t="s">
        <v>77</v>
      </c>
      <c r="AN9" t="s">
        <v>243</v>
      </c>
      <c r="AP9" t="s">
        <v>175</v>
      </c>
      <c r="AQ9" t="s">
        <v>176</v>
      </c>
      <c r="AR9" t="s">
        <v>252</v>
      </c>
      <c r="AT9" t="s">
        <v>80</v>
      </c>
      <c r="AU9" t="s">
        <v>177</v>
      </c>
      <c r="AV9" t="s">
        <v>178</v>
      </c>
      <c r="AW9" t="str">
        <f t="shared" si="0"/>
        <v>PONTIANAK</v>
      </c>
      <c r="AX9" t="s">
        <v>179</v>
      </c>
      <c r="AY9" t="s">
        <v>180</v>
      </c>
      <c r="AZ9" t="s">
        <v>181</v>
      </c>
      <c r="BA9" t="s">
        <v>264</v>
      </c>
      <c r="BB9" t="s">
        <v>85</v>
      </c>
      <c r="BC9" t="s">
        <v>86</v>
      </c>
      <c r="BD9" t="s">
        <v>182</v>
      </c>
      <c r="BE9" t="s">
        <v>88</v>
      </c>
      <c r="BG9" t="s">
        <v>89</v>
      </c>
    </row>
    <row r="10" spans="1:61" x14ac:dyDescent="0.25">
      <c r="A10" t="s">
        <v>183</v>
      </c>
      <c r="B10" t="s">
        <v>57</v>
      </c>
      <c r="C10" t="s">
        <v>58</v>
      </c>
      <c r="E10" t="s">
        <v>59</v>
      </c>
      <c r="F10" t="s">
        <v>60</v>
      </c>
      <c r="G10" t="s">
        <v>61</v>
      </c>
      <c r="H10" t="s">
        <v>62</v>
      </c>
      <c r="I10" t="s">
        <v>63</v>
      </c>
      <c r="J10" t="s">
        <v>64</v>
      </c>
      <c r="K10" t="s">
        <v>65</v>
      </c>
      <c r="L10" t="s">
        <v>66</v>
      </c>
      <c r="M10" s="2">
        <v>120000</v>
      </c>
      <c r="N10" t="s">
        <v>91</v>
      </c>
      <c r="O10" s="1">
        <v>0</v>
      </c>
      <c r="P10">
        <v>1</v>
      </c>
      <c r="V10" t="s">
        <v>92</v>
      </c>
      <c r="W10" t="s">
        <v>184</v>
      </c>
      <c r="X10" t="s">
        <v>68</v>
      </c>
      <c r="Y10" t="s">
        <v>68</v>
      </c>
      <c r="Z10" t="s">
        <v>185</v>
      </c>
      <c r="AB10" t="s">
        <v>186</v>
      </c>
      <c r="AD10" t="s">
        <v>73</v>
      </c>
      <c r="AJ10" t="s">
        <v>74</v>
      </c>
      <c r="AK10" t="s">
        <v>75</v>
      </c>
      <c r="AL10" t="s">
        <v>187</v>
      </c>
      <c r="AM10" t="s">
        <v>77</v>
      </c>
      <c r="AN10" t="s">
        <v>243</v>
      </c>
      <c r="AP10" t="s">
        <v>188</v>
      </c>
      <c r="AQ10" t="s">
        <v>189</v>
      </c>
      <c r="AR10" t="s">
        <v>246</v>
      </c>
      <c r="AT10" t="s">
        <v>80</v>
      </c>
      <c r="AU10" t="s">
        <v>190</v>
      </c>
      <c r="AV10" t="s">
        <v>262</v>
      </c>
      <c r="AW10" t="str">
        <f t="shared" si="0"/>
        <v>BOGOR</v>
      </c>
      <c r="AX10" t="s">
        <v>191</v>
      </c>
      <c r="AY10" t="s">
        <v>192</v>
      </c>
      <c r="BA10" t="s">
        <v>264</v>
      </c>
      <c r="BB10" t="s">
        <v>85</v>
      </c>
      <c r="BC10" t="s">
        <v>86</v>
      </c>
      <c r="BD10" t="s">
        <v>193</v>
      </c>
      <c r="BE10" t="s">
        <v>88</v>
      </c>
      <c r="BG10" t="s">
        <v>89</v>
      </c>
    </row>
    <row r="11" spans="1:61" x14ac:dyDescent="0.25">
      <c r="A11" t="s">
        <v>194</v>
      </c>
      <c r="B11" t="s">
        <v>57</v>
      </c>
      <c r="C11" t="s">
        <v>58</v>
      </c>
      <c r="E11" t="s">
        <v>59</v>
      </c>
      <c r="F11" t="s">
        <v>60</v>
      </c>
      <c r="G11" t="s">
        <v>61</v>
      </c>
      <c r="H11" t="s">
        <v>62</v>
      </c>
      <c r="I11" t="s">
        <v>63</v>
      </c>
      <c r="J11" t="s">
        <v>64</v>
      </c>
      <c r="K11" t="s">
        <v>65</v>
      </c>
      <c r="L11" t="s">
        <v>66</v>
      </c>
      <c r="M11" s="2">
        <v>120000</v>
      </c>
      <c r="N11" t="s">
        <v>91</v>
      </c>
      <c r="O11" s="1">
        <v>0</v>
      </c>
      <c r="P11">
        <v>1</v>
      </c>
      <c r="V11" t="s">
        <v>92</v>
      </c>
      <c r="W11" t="s">
        <v>184</v>
      </c>
      <c r="X11" t="s">
        <v>68</v>
      </c>
      <c r="Y11" t="s">
        <v>68</v>
      </c>
      <c r="Z11" t="s">
        <v>185</v>
      </c>
      <c r="AB11" t="s">
        <v>195</v>
      </c>
      <c r="AD11" t="s">
        <v>73</v>
      </c>
      <c r="AJ11" t="s">
        <v>74</v>
      </c>
      <c r="AK11" t="s">
        <v>75</v>
      </c>
      <c r="AL11" t="s">
        <v>196</v>
      </c>
      <c r="AM11" t="s">
        <v>77</v>
      </c>
      <c r="AN11" t="s">
        <v>242</v>
      </c>
      <c r="AP11" t="s">
        <v>197</v>
      </c>
      <c r="AQ11" t="s">
        <v>198</v>
      </c>
      <c r="AR11" t="s">
        <v>253</v>
      </c>
      <c r="AT11" t="s">
        <v>80</v>
      </c>
      <c r="AU11" t="s">
        <v>128</v>
      </c>
      <c r="AV11" t="s">
        <v>263</v>
      </c>
      <c r="AW11" t="str">
        <f t="shared" si="0"/>
        <v>BOJONEGORO</v>
      </c>
      <c r="AX11" t="s">
        <v>199</v>
      </c>
      <c r="AY11" t="s">
        <v>200</v>
      </c>
      <c r="BA11" t="s">
        <v>264</v>
      </c>
      <c r="BB11" t="s">
        <v>85</v>
      </c>
      <c r="BC11" t="s">
        <v>86</v>
      </c>
      <c r="BD11" t="s">
        <v>201</v>
      </c>
      <c r="BE11" t="s">
        <v>88</v>
      </c>
      <c r="BG11" t="s">
        <v>89</v>
      </c>
    </row>
    <row r="12" spans="1:61" x14ac:dyDescent="0.25">
      <c r="A12" t="s">
        <v>202</v>
      </c>
      <c r="B12" t="s">
        <v>57</v>
      </c>
      <c r="C12" t="s">
        <v>58</v>
      </c>
      <c r="E12" t="s">
        <v>59</v>
      </c>
      <c r="F12" t="s">
        <v>60</v>
      </c>
      <c r="G12" t="s">
        <v>61</v>
      </c>
      <c r="H12" t="s">
        <v>62</v>
      </c>
      <c r="I12" t="s">
        <v>63</v>
      </c>
      <c r="J12" t="s">
        <v>64</v>
      </c>
      <c r="K12" t="s">
        <v>65</v>
      </c>
      <c r="L12" t="s">
        <v>66</v>
      </c>
      <c r="M12" s="2">
        <v>120000</v>
      </c>
      <c r="N12" t="s">
        <v>203</v>
      </c>
      <c r="O12" s="1">
        <v>0</v>
      </c>
      <c r="P12">
        <v>1</v>
      </c>
      <c r="V12" t="s">
        <v>133</v>
      </c>
      <c r="W12" t="s">
        <v>204</v>
      </c>
      <c r="X12" t="s">
        <v>68</v>
      </c>
      <c r="Y12" t="s">
        <v>68</v>
      </c>
      <c r="Z12" t="s">
        <v>205</v>
      </c>
      <c r="AB12" t="s">
        <v>206</v>
      </c>
      <c r="AD12" t="s">
        <v>73</v>
      </c>
      <c r="AJ12" t="s">
        <v>74</v>
      </c>
      <c r="AK12" t="s">
        <v>75</v>
      </c>
      <c r="AL12" t="s">
        <v>207</v>
      </c>
      <c r="AM12" t="s">
        <v>77</v>
      </c>
      <c r="AN12" t="s">
        <v>242</v>
      </c>
      <c r="AP12" t="s">
        <v>208</v>
      </c>
      <c r="AQ12" t="s">
        <v>209</v>
      </c>
      <c r="AR12" t="s">
        <v>254</v>
      </c>
      <c r="AT12" t="s">
        <v>80</v>
      </c>
      <c r="AU12" t="s">
        <v>128</v>
      </c>
      <c r="AV12" t="s">
        <v>260</v>
      </c>
      <c r="AW12" t="str">
        <f t="shared" si="0"/>
        <v>PAMEKASAN</v>
      </c>
      <c r="AX12" t="s">
        <v>210</v>
      </c>
      <c r="AY12" t="s">
        <v>211</v>
      </c>
      <c r="BA12" t="s">
        <v>264</v>
      </c>
      <c r="BB12" t="s">
        <v>85</v>
      </c>
      <c r="BC12" t="s">
        <v>86</v>
      </c>
      <c r="BD12" t="s">
        <v>212</v>
      </c>
      <c r="BE12" t="s">
        <v>88</v>
      </c>
      <c r="BG12" t="s">
        <v>89</v>
      </c>
    </row>
    <row r="13" spans="1:61" x14ac:dyDescent="0.25">
      <c r="A13" t="s">
        <v>213</v>
      </c>
      <c r="B13" t="s">
        <v>57</v>
      </c>
      <c r="C13" t="s">
        <v>58</v>
      </c>
      <c r="E13" t="s">
        <v>59</v>
      </c>
      <c r="F13" t="s">
        <v>214</v>
      </c>
      <c r="G13" t="s">
        <v>61</v>
      </c>
      <c r="H13" t="s">
        <v>215</v>
      </c>
      <c r="I13" t="s">
        <v>216</v>
      </c>
      <c r="J13" t="s">
        <v>64</v>
      </c>
      <c r="K13" t="s">
        <v>65</v>
      </c>
      <c r="L13" t="s">
        <v>66</v>
      </c>
      <c r="M13" s="2">
        <v>120000</v>
      </c>
      <c r="N13" t="s">
        <v>217</v>
      </c>
      <c r="O13" s="1">
        <v>0</v>
      </c>
      <c r="P13">
        <v>1</v>
      </c>
      <c r="V13" t="s">
        <v>133</v>
      </c>
      <c r="W13" t="s">
        <v>218</v>
      </c>
      <c r="X13" t="s">
        <v>68</v>
      </c>
      <c r="Y13" t="s">
        <v>68</v>
      </c>
      <c r="Z13" t="s">
        <v>219</v>
      </c>
      <c r="AB13" t="s">
        <v>220</v>
      </c>
      <c r="AD13" t="s">
        <v>221</v>
      </c>
      <c r="AJ13" t="s">
        <v>74</v>
      </c>
      <c r="AK13" t="s">
        <v>75</v>
      </c>
      <c r="AL13" t="s">
        <v>222</v>
      </c>
      <c r="AM13" t="s">
        <v>77</v>
      </c>
      <c r="AN13" t="s">
        <v>242</v>
      </c>
      <c r="AP13" t="s">
        <v>223</v>
      </c>
      <c r="AQ13" t="s">
        <v>224</v>
      </c>
      <c r="AR13" t="s">
        <v>255</v>
      </c>
      <c r="AT13" t="s">
        <v>80</v>
      </c>
      <c r="AU13" t="s">
        <v>99</v>
      </c>
      <c r="AV13" t="s">
        <v>225</v>
      </c>
      <c r="AW13" t="str">
        <f t="shared" si="0"/>
        <v>BANJARNEGARA</v>
      </c>
      <c r="AX13" t="s">
        <v>226</v>
      </c>
      <c r="AY13" t="s">
        <v>227</v>
      </c>
      <c r="BA13" t="s">
        <v>264</v>
      </c>
      <c r="BB13" t="s">
        <v>228</v>
      </c>
      <c r="BC13" t="s">
        <v>86</v>
      </c>
      <c r="BD13" t="s">
        <v>229</v>
      </c>
      <c r="BE13" t="s">
        <v>88</v>
      </c>
      <c r="BG13" t="s">
        <v>89</v>
      </c>
    </row>
    <row r="14" spans="1:61" x14ac:dyDescent="0.25">
      <c r="A14" t="s">
        <v>230</v>
      </c>
      <c r="B14" t="s">
        <v>57</v>
      </c>
      <c r="C14" t="s">
        <v>58</v>
      </c>
      <c r="E14" t="s">
        <v>59</v>
      </c>
      <c r="F14" t="s">
        <v>167</v>
      </c>
      <c r="G14" t="s">
        <v>168</v>
      </c>
      <c r="H14" t="s">
        <v>62</v>
      </c>
      <c r="I14" t="s">
        <v>169</v>
      </c>
      <c r="J14" t="s">
        <v>64</v>
      </c>
      <c r="K14" t="s">
        <v>65</v>
      </c>
      <c r="L14" t="s">
        <v>170</v>
      </c>
      <c r="M14" s="2">
        <v>230000</v>
      </c>
      <c r="N14" t="s">
        <v>68</v>
      </c>
      <c r="O14" s="1">
        <v>0</v>
      </c>
      <c r="P14">
        <v>2</v>
      </c>
      <c r="V14" t="s">
        <v>171</v>
      </c>
      <c r="W14" t="s">
        <v>231</v>
      </c>
      <c r="X14" t="s">
        <v>68</v>
      </c>
      <c r="Y14" t="s">
        <v>68</v>
      </c>
      <c r="Z14" t="s">
        <v>232</v>
      </c>
      <c r="AB14" t="s">
        <v>233</v>
      </c>
      <c r="AD14" t="s">
        <v>221</v>
      </c>
      <c r="AJ14" t="s">
        <v>74</v>
      </c>
      <c r="AK14" t="s">
        <v>75</v>
      </c>
      <c r="AL14" t="s">
        <v>234</v>
      </c>
      <c r="AM14" t="s">
        <v>77</v>
      </c>
      <c r="AN14" t="s">
        <v>243</v>
      </c>
      <c r="AP14" t="s">
        <v>235</v>
      </c>
      <c r="AQ14" t="s">
        <v>236</v>
      </c>
      <c r="AR14" t="s">
        <v>256</v>
      </c>
      <c r="AT14" t="s">
        <v>80</v>
      </c>
      <c r="AU14" t="s">
        <v>237</v>
      </c>
      <c r="AV14" t="s">
        <v>238</v>
      </c>
      <c r="AW14" t="str">
        <f t="shared" si="0"/>
        <v>BONE</v>
      </c>
      <c r="AX14" t="s">
        <v>115</v>
      </c>
      <c r="AY14" t="s">
        <v>239</v>
      </c>
      <c r="AZ14" t="s">
        <v>240</v>
      </c>
      <c r="BA14" t="s">
        <v>264</v>
      </c>
      <c r="BB14" t="s">
        <v>85</v>
      </c>
      <c r="BC14" t="s">
        <v>86</v>
      </c>
      <c r="BD14" t="s">
        <v>241</v>
      </c>
      <c r="BE14" t="s">
        <v>88</v>
      </c>
      <c r="BG14" t="s">
        <v>89</v>
      </c>
    </row>
  </sheetData>
  <autoFilter ref="A1:BI14" xr:uid="{FD0EFCFD-169A-447A-A889-A5663FBE773B}"/>
  <conditionalFormatting sqref="AL1:AL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OrderSKUList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2025-01-18T05:47:31Z</dcterms:modified>
</cp:coreProperties>
</file>